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charlott\Dropbox (Personal)\Paper_Finn_Lotti\RA_Material\"/>
    </mc:Choice>
  </mc:AlternateContent>
  <xr:revisionPtr revIDLastSave="0" documentId="13_ncr:1_{98030233-48E8-47CB-8A40-ADAE253B2195}" xr6:coauthVersionLast="36" xr6:coauthVersionMax="47" xr10:uidLastSave="{00000000-0000-0000-0000-000000000000}"/>
  <bookViews>
    <workbookView xWindow="0" yWindow="0" windowWidth="28800" windowHeight="10125" activeTab="1" xr2:uid="{00000000-000D-0000-FFFF-FFFF00000000}"/>
  </bookViews>
  <sheets>
    <sheet name="Read Me" sheetId="8" r:id="rId1"/>
    <sheet name="1 - Super 95" sheetId="1" r:id="rId2"/>
    <sheet name="2 - Diesel" sheetId="7" r:id="rId3"/>
    <sheet name="3 - Gas" sheetId="4" r:id="rId4"/>
    <sheet name="Raw Data - EU Oil Bulletin" sheetId="2" r:id="rId5"/>
    <sheet name="Raw Data - Imports Dependency" sheetId="3" r:id="rId6"/>
  </sheets>
  <definedNames>
    <definedName name="_xlnm._FilterDatabase" localSheetId="1" hidden="1">'1 - Super 95'!$A$8:$K$36</definedName>
    <definedName name="_xlnm._FilterDatabase" localSheetId="2" hidden="1">'2 - Diesel'!$B$4:$F$31</definedName>
    <definedName name="_xlnm._FilterDatabase" localSheetId="3" hidden="1">'3 - Gas'!$A$6:$E$33</definedName>
    <definedName name="_xlnm._FilterDatabase" localSheetId="4" hidden="1">'Raw Data - EU Oil Bulletin'!$E$7:$L$231</definedName>
  </definedNames>
  <calcPr calcId="191029"/>
</workbook>
</file>

<file path=xl/calcChain.xml><?xml version="1.0" encoding="utf-8"?>
<calcChain xmlns="http://schemas.openxmlformats.org/spreadsheetml/2006/main">
  <c r="D18" i="4" l="1"/>
  <c r="D33" i="4"/>
  <c r="D23" i="4"/>
  <c r="D24" i="4"/>
  <c r="D15" i="4"/>
  <c r="D8" i="4"/>
  <c r="D9" i="4"/>
  <c r="D7" i="4"/>
  <c r="D10" i="4"/>
  <c r="D14" i="4"/>
  <c r="D17" i="4"/>
  <c r="D21" i="4"/>
  <c r="D19" i="4"/>
  <c r="D20" i="4"/>
  <c r="D22" i="4"/>
  <c r="D16" i="4"/>
  <c r="D12" i="4"/>
  <c r="D13" i="4"/>
  <c r="D11" i="4"/>
  <c r="E8" i="7"/>
  <c r="E5" i="7"/>
  <c r="E30" i="7"/>
  <c r="E29" i="7"/>
  <c r="E27" i="7"/>
  <c r="E21" i="7"/>
  <c r="E11" i="7"/>
  <c r="E19" i="7"/>
  <c r="E31" i="7"/>
  <c r="E16" i="7"/>
  <c r="E20" i="7"/>
  <c r="E10" i="7"/>
  <c r="E22" i="7"/>
  <c r="E26" i="7"/>
  <c r="E28" i="7"/>
  <c r="E14" i="7"/>
  <c r="E13" i="7"/>
  <c r="E15" i="7"/>
  <c r="E17" i="7"/>
  <c r="E7" i="7"/>
  <c r="E12" i="7"/>
  <c r="E6" i="7"/>
  <c r="E24" i="7"/>
  <c r="E25" i="7"/>
  <c r="E23" i="7"/>
  <c r="E18" i="7"/>
  <c r="E9" i="7"/>
  <c r="D35" i="1" l="1"/>
  <c r="D34" i="1"/>
  <c r="D33" i="1"/>
  <c r="D32" i="1"/>
  <c r="D31" i="1"/>
  <c r="D30" i="1"/>
  <c r="D29" i="1"/>
  <c r="D28" i="1"/>
  <c r="D27" i="1"/>
  <c r="D26" i="1"/>
  <c r="D25" i="1"/>
  <c r="D24" i="1"/>
  <c r="D23" i="1"/>
  <c r="D22" i="1"/>
  <c r="D21" i="1"/>
  <c r="D20" i="1"/>
  <c r="D19" i="1"/>
  <c r="D18" i="1"/>
  <c r="D17" i="1"/>
  <c r="D16" i="1"/>
  <c r="D15" i="1"/>
  <c r="D14" i="1"/>
  <c r="D13" i="1"/>
  <c r="D12" i="1"/>
  <c r="D11" i="1"/>
  <c r="D10" i="1"/>
  <c r="D9" i="1"/>
</calcChain>
</file>

<file path=xl/sharedStrings.xml><?xml version="1.0" encoding="utf-8"?>
<sst xmlns="http://schemas.openxmlformats.org/spreadsheetml/2006/main" count="1041" uniqueCount="295">
  <si>
    <t>EU Fuel Price Tracker — Impact of the Iran War</t>
  </si>
  <si>
    <t>Euro-Super 95 (Unleaded) &amp; Diesel — Pump Prices incl. taxes &amp; duties (€/litre)</t>
  </si>
  <si>
    <t>Baseline Date:</t>
  </si>
  <si>
    <t>23 February 2026 (Week before Iran War)</t>
  </si>
  <si>
    <t>Latest Data:</t>
  </si>
  <si>
    <t>16 March 2026</t>
  </si>
  <si>
    <t>Country</t>
  </si>
  <si>
    <t>Baseline
(23 Feb)</t>
  </si>
  <si>
    <t>Current
(16 Mar)</t>
  </si>
  <si>
    <t>Change
(%)</t>
  </si>
  <si>
    <t>Austria</t>
  </si>
  <si>
    <t>Belgium</t>
  </si>
  <si>
    <t>Bulgaria</t>
  </si>
  <si>
    <t>Croatia</t>
  </si>
  <si>
    <t>Cyprus</t>
  </si>
  <si>
    <t>Czechia</t>
  </si>
  <si>
    <t>Denmark</t>
  </si>
  <si>
    <t>Estonia</t>
  </si>
  <si>
    <t>Finland</t>
  </si>
  <si>
    <t>France</t>
  </si>
  <si>
    <t>Germany</t>
  </si>
  <si>
    <t>Greece</t>
  </si>
  <si>
    <t>Hungary</t>
  </si>
  <si>
    <t>Ireland</t>
  </si>
  <si>
    <t>Italy</t>
  </si>
  <si>
    <t>Latvia</t>
  </si>
  <si>
    <t>Lithuania</t>
  </si>
  <si>
    <t>Luxembourg</t>
  </si>
  <si>
    <t>Malta</t>
  </si>
  <si>
    <t>Netherlands</t>
  </si>
  <si>
    <t>Poland</t>
  </si>
  <si>
    <t>Portugal</t>
  </si>
  <si>
    <t>Romania</t>
  </si>
  <si>
    <t>Slovakia</t>
  </si>
  <si>
    <t>Slovenia</t>
  </si>
  <si>
    <t>Spain</t>
  </si>
  <si>
    <t>Sweden</t>
  </si>
  <si>
    <t>🇪🇺 EU Average</t>
  </si>
  <si>
    <t>Consumer prices of petroleum products inclusive of duties and taxes</t>
  </si>
  <si>
    <t>Date</t>
  </si>
  <si>
    <t>CTR</t>
  </si>
  <si>
    <t>EU_</t>
  </si>
  <si>
    <t>EU_price_with_tax_euro95</t>
  </si>
  <si>
    <t>Euro-super 95  (I)</t>
  </si>
  <si>
    <t>1000 l</t>
  </si>
  <si>
    <t>EU_price_with_tax_diesel</t>
  </si>
  <si>
    <t>Gas oil automobile Automotive gas oil Dieselkraftstoff (I)</t>
  </si>
  <si>
    <t>EU_price_with_tax_heEUing_oil</t>
  </si>
  <si>
    <t xml:space="preserve"> Gas oil de chauffage Heating gas oil Heizöl (II)</t>
  </si>
  <si>
    <t>EU_price_with_tax_fuel_oil_1</t>
  </si>
  <si>
    <t xml:space="preserve"> Fuel oil - Schweres Heizöl (III) Soufre </t>
  </si>
  <si>
    <t>t</t>
  </si>
  <si>
    <t>EU_price_with_tax_fuel_oil_2</t>
  </si>
  <si>
    <t xml:space="preserve"> Fuel oil -Schweres Heizöl (III) Soufre &gt; 1% Sulphur &gt; 1% Schwefel &gt; 1%</t>
  </si>
  <si>
    <t>EU_price_with_tax_LPG</t>
  </si>
  <si>
    <t>GPL pour moteur LPG motor fuel</t>
  </si>
  <si>
    <t>EUR_</t>
  </si>
  <si>
    <t>EUR_price_with_tax_euro95</t>
  </si>
  <si>
    <t>EUR_price_with_tax_diesel</t>
  </si>
  <si>
    <t>EUR_price_with_tax_heEURing_oil</t>
  </si>
  <si>
    <t>EUR_price_with_tax_fuel_oil_1</t>
  </si>
  <si>
    <t>EUR_price_with_tax_fuel_oil_2</t>
  </si>
  <si>
    <t>EUR_price_with_tax_LPG</t>
  </si>
  <si>
    <t>AT_</t>
  </si>
  <si>
    <t>AT_price_with_tax_euro95</t>
  </si>
  <si>
    <t>AT_price_with_tax_diesel</t>
  </si>
  <si>
    <t>AT_price_with_tax_heating_oil</t>
  </si>
  <si>
    <t>AT_price_with_tax_fuel_oil_1</t>
  </si>
  <si>
    <t>AT_price_with_tax_fuel_oil_2</t>
  </si>
  <si>
    <t>AT_price_with_tax_LPG</t>
  </si>
  <si>
    <t>BE_</t>
  </si>
  <si>
    <t>BE_price_with_tax_euro95</t>
  </si>
  <si>
    <t>BE_price_with_tax_diesel</t>
  </si>
  <si>
    <t>BE_price_with_tax_heBEing_oil</t>
  </si>
  <si>
    <t>BE_price_with_tax_fuel_oil_1</t>
  </si>
  <si>
    <t>BE_price_with_tax_fuel_oil_2</t>
  </si>
  <si>
    <t>BE_price_with_tax_LPG</t>
  </si>
  <si>
    <t>BG_</t>
  </si>
  <si>
    <t>BG_exchange_rate</t>
  </si>
  <si>
    <t>BG_price_with_tax_euro95</t>
  </si>
  <si>
    <t>BG_price_with_tax_diesel</t>
  </si>
  <si>
    <t>BG_price_with_tax_heBGing_oil</t>
  </si>
  <si>
    <t>BG_price_with_tax_fuel_oil_1</t>
  </si>
  <si>
    <t>BG_price_with_tax_fuel_oil_2</t>
  </si>
  <si>
    <t>BG_price_with_tax_LPG</t>
  </si>
  <si>
    <t>CY_</t>
  </si>
  <si>
    <t>CY_exchange_rate</t>
  </si>
  <si>
    <t>CY_price_with_tax_euro95</t>
  </si>
  <si>
    <t>CY_price_with_tax_diesel</t>
  </si>
  <si>
    <t>CY_price_with_tax_heCYing_oil</t>
  </si>
  <si>
    <t>CY_price_with_tax_fuel_oil_1</t>
  </si>
  <si>
    <t>CY_price_with_tax_fuel_oil_2</t>
  </si>
  <si>
    <t>CY_price_with_tax_LPG</t>
  </si>
  <si>
    <t>CZ_</t>
  </si>
  <si>
    <t>CZ_exchange_rate</t>
  </si>
  <si>
    <t>CZ_price_with_tax_euro95</t>
  </si>
  <si>
    <t>CZ_price_with_tax_diesel</t>
  </si>
  <si>
    <t>CZ_price_with_tax_heCZing_oil</t>
  </si>
  <si>
    <t>CZ_price_with_tax_fuel_oil_1</t>
  </si>
  <si>
    <t>CZ_price_with_tax_fuel_oil_2</t>
  </si>
  <si>
    <t>CZ_price_with_tax_LPG</t>
  </si>
  <si>
    <t>DE_</t>
  </si>
  <si>
    <t>DE_price_with_tax_euro95</t>
  </si>
  <si>
    <t>DE_price_with_tax_diesel</t>
  </si>
  <si>
    <t>DE_price_with_tax_heDEing_oil</t>
  </si>
  <si>
    <t>DE_price_with_tax_fuel_oil_1</t>
  </si>
  <si>
    <t>DE_price_with_tax_fuel_oil_2</t>
  </si>
  <si>
    <t>DE_price_with_tax_LPG</t>
  </si>
  <si>
    <t>DK_</t>
  </si>
  <si>
    <t>DK_exchange_rate</t>
  </si>
  <si>
    <t>DK_price_with_tax_euro95</t>
  </si>
  <si>
    <t>DK_price_with_tax_diesel</t>
  </si>
  <si>
    <t>DK_price_with_tax_heDKing_oil</t>
  </si>
  <si>
    <t>DK_price_with_tax_fuel_oil_1</t>
  </si>
  <si>
    <t>DK_price_with_tax_fuel_oil_2</t>
  </si>
  <si>
    <t>DK_price_with_tax_LPG</t>
  </si>
  <si>
    <t>EE_</t>
  </si>
  <si>
    <t>EE_exchange_rate</t>
  </si>
  <si>
    <t>EE_price_with_tax_euro95</t>
  </si>
  <si>
    <t>EE_price_with_tax_diesel</t>
  </si>
  <si>
    <t>EE_price_with_tax_heEEing_oil</t>
  </si>
  <si>
    <t>EE_price_with_tax_fuel_oil_1</t>
  </si>
  <si>
    <t>EE_price_with_tax_fuel_oil_2</t>
  </si>
  <si>
    <t>EE_price_with_tax_LPG</t>
  </si>
  <si>
    <t>ES_</t>
  </si>
  <si>
    <t>ES_price_with_tax_euro95</t>
  </si>
  <si>
    <t>ES_price_with_tax_diesel</t>
  </si>
  <si>
    <t>ES_price_with_tax_heESing_oil</t>
  </si>
  <si>
    <t>ES_price_with_tax_fuel_oil_1</t>
  </si>
  <si>
    <t>ES_price_with_tax_fuel_oil_2</t>
  </si>
  <si>
    <t>ES_price_with_tax_LPG</t>
  </si>
  <si>
    <t>FI_</t>
  </si>
  <si>
    <t>FI_price_with_tax_euro95</t>
  </si>
  <si>
    <t>FI_price_with_tax_diesel</t>
  </si>
  <si>
    <t>FI_price_with_tax_heFIing_oil</t>
  </si>
  <si>
    <t>FI_price_with_tax_fuel_oil_1</t>
  </si>
  <si>
    <t>FI_price_with_tax_fuel_oil_2</t>
  </si>
  <si>
    <t>FI_price_with_tax_LPG</t>
  </si>
  <si>
    <t>FR_</t>
  </si>
  <si>
    <t>FR_price_with_tax_euro95</t>
  </si>
  <si>
    <t>FR_price_with_tax_diesel</t>
  </si>
  <si>
    <t>FR_price_with_tax_heFRing_oil</t>
  </si>
  <si>
    <t>FR_price_with_tax_fuel_oil_1</t>
  </si>
  <si>
    <t>FR_price_with_tax_fuel_oil_2</t>
  </si>
  <si>
    <t>FR_price_with_tax_LPG</t>
  </si>
  <si>
    <t>GR_</t>
  </si>
  <si>
    <t>GR_price_with_tax_euro95</t>
  </si>
  <si>
    <t>GR_price_with_tax_diesel</t>
  </si>
  <si>
    <t>GR_price_with_tax_heGRing_oil</t>
  </si>
  <si>
    <t>GR_price_with_tax_fuel_oil_1</t>
  </si>
  <si>
    <t>GR_price_with_tax_fuel_oil_2</t>
  </si>
  <si>
    <t>GR_price_with_tax_LPG</t>
  </si>
  <si>
    <t>HR_</t>
  </si>
  <si>
    <t>HR_exchange_rate</t>
  </si>
  <si>
    <t>HR_price_with_tax_euro95</t>
  </si>
  <si>
    <t>HR_price_with_tax_diesel</t>
  </si>
  <si>
    <t>HR_price_with_tax_heHRing_oil</t>
  </si>
  <si>
    <t>HR_price_with_tax_fuel_oil_1</t>
  </si>
  <si>
    <t>HR_price_with_tax_fuel_oil_2</t>
  </si>
  <si>
    <t>HR_price_with_tax_LPG</t>
  </si>
  <si>
    <t>HU_</t>
  </si>
  <si>
    <t>HU_exchange_rate</t>
  </si>
  <si>
    <t>HU_price_with_tax_euro95</t>
  </si>
  <si>
    <t>HU_price_with_tax_diesel</t>
  </si>
  <si>
    <t>HU_price_with_tax_heHUing_oil</t>
  </si>
  <si>
    <t>HU_price_with_tax_fuel_oil_1</t>
  </si>
  <si>
    <t>HU_price_with_tax_fuel_oil_2</t>
  </si>
  <si>
    <t>HU_price_with_tax_LPG</t>
  </si>
  <si>
    <t>IE_</t>
  </si>
  <si>
    <t>IE_price_with_tax_euro95</t>
  </si>
  <si>
    <t>IE_price_with_tax_diesel</t>
  </si>
  <si>
    <t>IE_price_with_tax_heIEing_oil</t>
  </si>
  <si>
    <t>IE_price_with_tax_fuel_oil_1</t>
  </si>
  <si>
    <t>IE_price_with_tax_fuel_oil_2</t>
  </si>
  <si>
    <t>IE_price_with_tax_LPG</t>
  </si>
  <si>
    <t>IT_</t>
  </si>
  <si>
    <t>IT_price_with_tax_euro95</t>
  </si>
  <si>
    <t>IT_price_with_tax_diesel</t>
  </si>
  <si>
    <t>IT_price_with_tax_heITing_oil</t>
  </si>
  <si>
    <t>IT_price_with_tax_fuel_oil_1</t>
  </si>
  <si>
    <t>IT_price_with_tax_fuel_oil_2</t>
  </si>
  <si>
    <t>IT_price_with_tax_LPG</t>
  </si>
  <si>
    <t>LT_</t>
  </si>
  <si>
    <t>LT_exchange_rate</t>
  </si>
  <si>
    <t>LT_price_with_tax_euro95</t>
  </si>
  <si>
    <t>LT_price_with_tax_diesel</t>
  </si>
  <si>
    <t>LT_price_with_tax_heLTing_oil</t>
  </si>
  <si>
    <t>LT_price_with_tax_fuel_oil_1</t>
  </si>
  <si>
    <t>LT_price_with_tax_fuel_oil_2</t>
  </si>
  <si>
    <t>LT_price_with_tax_LPG</t>
  </si>
  <si>
    <t>LU_</t>
  </si>
  <si>
    <t>LU_price_with_tax_euro95</t>
  </si>
  <si>
    <t>LU_price_with_tax_diesel</t>
  </si>
  <si>
    <t>LU_price_with_tax_heLUing_oil</t>
  </si>
  <si>
    <t>LU_price_with_tax_fuel_oil_1</t>
  </si>
  <si>
    <t>LU_price_with_tax_fuel_oil_2</t>
  </si>
  <si>
    <t>LU_price_with_tax_LPG</t>
  </si>
  <si>
    <t>LV_</t>
  </si>
  <si>
    <t>LV_exchange_rate</t>
  </si>
  <si>
    <t>LV_price_with_tax_euro95</t>
  </si>
  <si>
    <t>LV_price_with_tax_diesel</t>
  </si>
  <si>
    <t>LV_price_with_tax_heLVing_oil</t>
  </si>
  <si>
    <t>LV_price_with_tax_fuel_oil_1</t>
  </si>
  <si>
    <t>LV_price_with_tax_fuel_oil_2</t>
  </si>
  <si>
    <t>LV_price_with_tax_LPG</t>
  </si>
  <si>
    <t>MT_</t>
  </si>
  <si>
    <t>MT_price_with_tax_euro95</t>
  </si>
  <si>
    <t>MT_price_with_tax_diesel</t>
  </si>
  <si>
    <t>MT_price_with_tax_heMTing_oil</t>
  </si>
  <si>
    <t>MT_price_with_tax_fuel_oil_1</t>
  </si>
  <si>
    <t>MT_price_with_tax_fuel_oil_2</t>
  </si>
  <si>
    <t>MT_price_with_tax_LPG</t>
  </si>
  <si>
    <t>NL_</t>
  </si>
  <si>
    <t>NL_price_with_tax_euro95</t>
  </si>
  <si>
    <t>NL_price_with_tax_diesel</t>
  </si>
  <si>
    <t>NL_price_with_tax_heNLing_oil</t>
  </si>
  <si>
    <t>NL_price_with_tax_fuel_oil_1</t>
  </si>
  <si>
    <t>NL_price_with_tax_fuel_oil_2</t>
  </si>
  <si>
    <t>NL_price_with_tax_LPG</t>
  </si>
  <si>
    <t>PL_</t>
  </si>
  <si>
    <t>PL_exchange_rate</t>
  </si>
  <si>
    <t>PL_price_with_tax_euro95</t>
  </si>
  <si>
    <t>PL_price_with_tax_diesel</t>
  </si>
  <si>
    <t>PL_price_with_tax_hePLing_oil</t>
  </si>
  <si>
    <t>PL_price_with_tax_fuel_oil_1</t>
  </si>
  <si>
    <t>PL_price_with_tax_fuel_oil_2</t>
  </si>
  <si>
    <t>PL_price_with_tax_LPG</t>
  </si>
  <si>
    <t>PT_</t>
  </si>
  <si>
    <t>PT_price_with_tax_euro95</t>
  </si>
  <si>
    <t>PT_price_with_tax_diesel</t>
  </si>
  <si>
    <t>PT_price_with_tax_hePTing_oil</t>
  </si>
  <si>
    <t>PT_price_with_tax_fuel_oil_1</t>
  </si>
  <si>
    <t>PT_price_with_tax_fuel_oil_2</t>
  </si>
  <si>
    <t>PT_price_with_tax_LPG</t>
  </si>
  <si>
    <t>RO_</t>
  </si>
  <si>
    <t>RO_exchange_rate</t>
  </si>
  <si>
    <t>RO_price_with_tax_euro95</t>
  </si>
  <si>
    <t>RO_price_with_tax_diesel</t>
  </si>
  <si>
    <t>RO_price_with_tax_heROing_oil</t>
  </si>
  <si>
    <t>RO_price_with_tax_fuel_oil_1</t>
  </si>
  <si>
    <t>RO_price_with_tax_fuel_oil_2</t>
  </si>
  <si>
    <t>RO_price_with_tax_LPG</t>
  </si>
  <si>
    <t>SE_</t>
  </si>
  <si>
    <t>SE_exchange_rate</t>
  </si>
  <si>
    <t>SE_price_with_tax_euro95</t>
  </si>
  <si>
    <t>SE_price_with_tax_diesel</t>
  </si>
  <si>
    <t>SE_price_with_tax_heSEing_oil</t>
  </si>
  <si>
    <t>SE_price_with_tax_fuel_oil_1</t>
  </si>
  <si>
    <t>SE_price_with_tax_fuel_oil_2</t>
  </si>
  <si>
    <t>SE_price_with_tax_LPG</t>
  </si>
  <si>
    <t>SI_</t>
  </si>
  <si>
    <t>SI_exchange_rate</t>
  </si>
  <si>
    <t>SI_price_with_tax_euro95</t>
  </si>
  <si>
    <t>SI_price_with_tax_diesel</t>
  </si>
  <si>
    <t>SI_price_with_tax_heSIing_oil</t>
  </si>
  <si>
    <t>SI_price_with_tax_fuel_oil_1</t>
  </si>
  <si>
    <t>SI_price_with_tax_fuel_oil_2</t>
  </si>
  <si>
    <t>SI_price_with_tax_LPG</t>
  </si>
  <si>
    <t>SK_</t>
  </si>
  <si>
    <t>SK_exchange_rate</t>
  </si>
  <si>
    <t>SK_price_with_tax_euro95</t>
  </si>
  <si>
    <t>SK_price_with_tax_diesel</t>
  </si>
  <si>
    <t>SK_price_with_tax_heSKing_oil</t>
  </si>
  <si>
    <t>SK_price_with_tax_fuel_oil_1</t>
  </si>
  <si>
    <t>SK_price_with_tax_fuel_oil_2</t>
  </si>
  <si>
    <t>SK_price_with_tax_LPG</t>
  </si>
  <si>
    <t>UK_exchange_rate</t>
  </si>
  <si>
    <t>UK</t>
  </si>
  <si>
    <t>UK_price_with_tax_euro95</t>
  </si>
  <si>
    <t>UK_price_with_tax_diesel</t>
  </si>
  <si>
    <t>UK_price_with_tax_heUKing_oil</t>
  </si>
  <si>
    <t>UK_price_with_tax_fuel_oil_1</t>
  </si>
  <si>
    <t>UK_price_with_tax_fuel_oil_2</t>
  </si>
  <si>
    <t>UK_price_with_tax_LPG</t>
  </si>
  <si>
    <t>UNLEADED PETROL (Euro-Super 95)</t>
  </si>
  <si>
    <t>Iceland</t>
  </si>
  <si>
    <t>Norway</t>
  </si>
  <si>
    <t>Bosnia and Herzegovina</t>
  </si>
  <si>
    <t>Montenegro</t>
  </si>
  <si>
    <t>Moldova</t>
  </si>
  <si>
    <t>North Macedonia</t>
  </si>
  <si>
    <t>Georgia</t>
  </si>
  <si>
    <t>Albania</t>
  </si>
  <si>
    <t>Serbia</t>
  </si>
  <si>
    <t>Türkiye</t>
  </si>
  <si>
    <t>Ukraine</t>
  </si>
  <si>
    <t>Kosovo*</t>
  </si>
  <si>
    <t>:</t>
  </si>
  <si>
    <t>Fossil Fuel Dependency Indicator</t>
  </si>
  <si>
    <t>Energy imports dependency rate - Total (% of net imports in gross available energy, based on terajoules)</t>
  </si>
  <si>
    <t>We obtained the weekly oil bulletin from the EU in which we downloaded the historical dataset that tracks movements in fossil fuels over since 2005. From the weekly bulletin, we extraced the prices from the week of 23 February 2026. 
Furthermore, we extracted the Super 95, Diesel and Gas prices, we performed a fluctation analysis of the fossil fuels for each of the commodities. Secondly, we obtained the imports dependency indicator from EuroStat.</t>
  </si>
  <si>
    <t>Sources</t>
  </si>
  <si>
    <t>https://ec.europa.eu/eurostat/web/products-eurostat-news/w/wdn-20260318-1</t>
  </si>
  <si>
    <t>https://energy.ec.europa.eu/data-and-analysis/weekly-oil-bulletin_en</t>
  </si>
  <si>
    <t>READ 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</si>
</sst>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
    <numFmt numFmtId="166" formatCode="#,##0.##########"/>
    <numFmt numFmtId="167" formatCode="#,##0.000"/>
  </numFmts>
  <fonts count="19" x14ac:knownFonts="1">
    <font>
      <sz val="11"/>
      <color theme="1"/>
      <name val="Calibri"/>
      <family val="2"/>
      <scheme val="minor"/>
    </font>
    <font>
      <b/>
      <sz val="16"/>
      <color rgb="FFFFFFFF"/>
      <name val="Arial"/>
      <family val="2"/>
    </font>
    <font>
      <i/>
      <sz val="11"/>
      <color rgb="FFFFFFFF"/>
      <name val="Arial"/>
      <family val="2"/>
    </font>
    <font>
      <b/>
      <sz val="10"/>
      <name val="Arial"/>
      <family val="2"/>
    </font>
    <font>
      <b/>
      <sz val="10"/>
      <color rgb="FF2E5FA3"/>
      <name val="Arial"/>
      <family val="2"/>
    </font>
    <font>
      <b/>
      <sz val="10"/>
      <color rgb="FFFFFFFF"/>
      <name val="Arial"/>
      <family val="2"/>
    </font>
    <font>
      <b/>
      <sz val="9"/>
      <color rgb="FFFFFFFF"/>
      <name val="Arial"/>
      <family val="2"/>
    </font>
    <font>
      <sz val="10"/>
      <name val="Arial"/>
      <family val="2"/>
    </font>
    <font>
      <i/>
      <sz val="9"/>
      <color rgb="FF404040"/>
      <name val="Arial"/>
      <family val="2"/>
    </font>
    <font>
      <sz val="11"/>
      <color theme="1"/>
      <name val="Calibri"/>
      <family val="2"/>
      <scheme val="minor"/>
    </font>
    <font>
      <sz val="11"/>
      <color rgb="FF000000"/>
      <name val="Calibri"/>
      <family val="2"/>
      <scheme val="minor"/>
    </font>
    <font>
      <b/>
      <sz val="10"/>
      <color theme="1"/>
      <name val="Arial"/>
      <family val="2"/>
    </font>
    <font>
      <b/>
      <sz val="9"/>
      <color theme="1"/>
      <name val="Arial"/>
      <family val="2"/>
    </font>
    <font>
      <b/>
      <sz val="9"/>
      <name val="Arial"/>
      <family val="2"/>
    </font>
    <font>
      <sz val="9"/>
      <name val="Arial"/>
      <family val="2"/>
    </font>
    <font>
      <b/>
      <sz val="11"/>
      <color rgb="FF000000"/>
      <name val="Calibri"/>
      <family val="2"/>
      <scheme val="minor"/>
    </font>
    <font>
      <u/>
      <sz val="11"/>
      <color theme="10"/>
      <name val="Calibri"/>
      <family val="2"/>
      <scheme val="minor"/>
    </font>
    <font>
      <sz val="14"/>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1F3864"/>
      </patternFill>
    </fill>
    <fill>
      <patternFill patternType="solid">
        <fgColor rgb="FF2E5FA3"/>
      </patternFill>
    </fill>
    <fill>
      <patternFill patternType="solid">
        <fgColor rgb="FFD6E4F7"/>
      </patternFill>
    </fill>
    <fill>
      <patternFill patternType="solid">
        <fgColor rgb="FFBDD7EE"/>
      </patternFill>
    </fill>
    <fill>
      <patternFill patternType="solid">
        <fgColor theme="3" tint="0.79998168889431442"/>
        <bgColor indexed="64"/>
      </patternFill>
    </fill>
    <fill>
      <patternFill patternType="solid">
        <fgColor rgb="FFDCE6F1"/>
      </patternFill>
    </fill>
    <fill>
      <patternFill patternType="solid">
        <fgColor rgb="FFF6F6F6"/>
      </patternFill>
    </fill>
    <fill>
      <patternFill patternType="solid">
        <fgColor theme="9"/>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s>
  <cellStyleXfs count="3">
    <xf numFmtId="0" fontId="0" fillId="0" borderId="0"/>
    <xf numFmtId="9" fontId="9" fillId="0" borderId="0" applyFont="0" applyFill="0" applyBorder="0" applyAlignment="0" applyProtection="0"/>
    <xf numFmtId="0" fontId="16" fillId="0" borderId="0" applyNumberFormat="0" applyFill="0" applyBorder="0" applyAlignment="0" applyProtection="0"/>
  </cellStyleXfs>
  <cellXfs count="46">
    <xf numFmtId="0" fontId="0" fillId="0" borderId="0" xfId="0"/>
    <xf numFmtId="0" fontId="10" fillId="0" borderId="0" xfId="0" applyFont="1"/>
    <xf numFmtId="0" fontId="10" fillId="0" borderId="1" xfId="0" applyFont="1" applyBorder="1"/>
    <xf numFmtId="0" fontId="0" fillId="0" borderId="1" xfId="0" applyBorder="1"/>
    <xf numFmtId="14" fontId="10" fillId="0" borderId="1" xfId="0" applyNumberFormat="1" applyFont="1" applyBorder="1"/>
    <xf numFmtId="0" fontId="0" fillId="0" borderId="1" xfId="0" applyBorder="1" applyAlignment="1">
      <alignment wrapText="1"/>
    </xf>
    <xf numFmtId="0" fontId="13" fillId="7" borderId="1" xfId="0" applyFont="1" applyFill="1" applyBorder="1" applyAlignment="1">
      <alignment horizontal="left" vertical="center"/>
    </xf>
    <xf numFmtId="166" fontId="14" fillId="8" borderId="1" xfId="0" applyNumberFormat="1" applyFont="1" applyFill="1" applyBorder="1" applyAlignment="1">
      <alignment horizontal="right" vertical="center" shrinkToFit="1"/>
    </xf>
    <xf numFmtId="166" fontId="14" fillId="0" borderId="1" xfId="0" applyNumberFormat="1" applyFont="1" applyBorder="1" applyAlignment="1">
      <alignment horizontal="right" vertical="center" shrinkToFit="1"/>
    </xf>
    <xf numFmtId="167" fontId="14" fillId="0" borderId="1" xfId="0" applyNumberFormat="1" applyFont="1" applyBorder="1" applyAlignment="1">
      <alignment horizontal="right" vertical="center" shrinkToFit="1"/>
    </xf>
    <xf numFmtId="167" fontId="14" fillId="8" borderId="1" xfId="0" applyNumberFormat="1" applyFont="1" applyFill="1" applyBorder="1" applyAlignment="1">
      <alignment horizontal="right" vertical="center" shrinkToFit="1"/>
    </xf>
    <xf numFmtId="3" fontId="14" fillId="8" borderId="1" xfId="0" applyNumberFormat="1" applyFont="1" applyFill="1" applyBorder="1" applyAlignment="1">
      <alignment horizontal="right" vertical="center" shrinkToFit="1"/>
    </xf>
    <xf numFmtId="3" fontId="14" fillId="0" borderId="1" xfId="0" applyNumberFormat="1" applyFont="1" applyBorder="1" applyAlignment="1">
      <alignment horizontal="right" vertical="center" shrinkToFit="1"/>
    </xf>
    <xf numFmtId="0" fontId="0" fillId="2" borderId="2" xfId="0" applyFill="1" applyBorder="1"/>
    <xf numFmtId="0" fontId="5" fillId="3" borderId="3" xfId="0" applyFont="1" applyFill="1" applyBorder="1" applyAlignment="1">
      <alignment horizontal="left" vertical="center" indent="1"/>
    </xf>
    <xf numFmtId="164" fontId="5" fillId="3" borderId="3" xfId="0" applyNumberFormat="1" applyFont="1" applyFill="1" applyBorder="1" applyAlignment="1">
      <alignment horizontal="center" vertical="center"/>
    </xf>
    <xf numFmtId="165" fontId="5" fillId="3" borderId="3" xfId="0" applyNumberFormat="1" applyFont="1" applyFill="1" applyBorder="1" applyAlignment="1">
      <alignment horizontal="center" vertical="center"/>
    </xf>
    <xf numFmtId="0" fontId="6" fillId="2"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3" fillId="6" borderId="1" xfId="0" applyFont="1" applyFill="1" applyBorder="1" applyAlignment="1">
      <alignment horizontal="left" vertical="center" indent="1"/>
    </xf>
    <xf numFmtId="0" fontId="0" fillId="6" borderId="1" xfId="0" applyFill="1" applyBorder="1"/>
    <xf numFmtId="9" fontId="0" fillId="6" borderId="1" xfId="1" applyFont="1" applyFill="1" applyBorder="1"/>
    <xf numFmtId="164" fontId="7" fillId="6" borderId="1" xfId="0" applyNumberFormat="1" applyFont="1" applyFill="1" applyBorder="1" applyAlignment="1">
      <alignment horizontal="center" vertical="center"/>
    </xf>
    <xf numFmtId="0" fontId="3" fillId="5" borderId="1" xfId="0" applyFont="1" applyFill="1" applyBorder="1" applyAlignment="1">
      <alignment horizontal="left" vertical="center" indent="1"/>
    </xf>
    <xf numFmtId="9" fontId="0" fillId="0" borderId="1" xfId="1" applyFont="1" applyBorder="1"/>
    <xf numFmtId="164" fontId="7" fillId="0" borderId="1" xfId="0" applyNumberFormat="1" applyFont="1" applyBorder="1" applyAlignment="1">
      <alignment horizontal="center" vertical="center"/>
    </xf>
    <xf numFmtId="0" fontId="3" fillId="4" borderId="1" xfId="0" applyFont="1" applyFill="1" applyBorder="1" applyAlignment="1">
      <alignment horizontal="left" vertical="center" indent="1"/>
    </xf>
    <xf numFmtId="0" fontId="3" fillId="9" borderId="1" xfId="0" applyFont="1" applyFill="1" applyBorder="1" applyAlignment="1">
      <alignment horizontal="left" vertical="center" indent="1"/>
    </xf>
    <xf numFmtId="0" fontId="0" fillId="9" borderId="1" xfId="0" applyFill="1" applyBorder="1"/>
    <xf numFmtId="9" fontId="0" fillId="9" borderId="1" xfId="1" applyFont="1" applyFill="1" applyBorder="1"/>
    <xf numFmtId="164" fontId="7" fillId="9" borderId="1" xfId="0" applyNumberFormat="1" applyFont="1" applyFill="1" applyBorder="1" applyAlignment="1">
      <alignment horizontal="center" vertical="center"/>
    </xf>
    <xf numFmtId="0" fontId="0" fillId="0" borderId="0" xfId="0" applyBorder="1"/>
    <xf numFmtId="0" fontId="11" fillId="0" borderId="2" xfId="0" applyFont="1" applyBorder="1" applyAlignment="1">
      <alignment vertical="center"/>
    </xf>
    <xf numFmtId="0" fontId="0" fillId="0" borderId="2" xfId="0" applyBorder="1" applyAlignment="1"/>
    <xf numFmtId="0" fontId="17" fillId="0" borderId="0" xfId="0" applyFont="1" applyAlignment="1">
      <alignment wrapText="1"/>
    </xf>
    <xf numFmtId="0" fontId="16" fillId="0" borderId="0" xfId="2"/>
    <xf numFmtId="0" fontId="18" fillId="0" borderId="0" xfId="0" applyFont="1"/>
    <xf numFmtId="0" fontId="2" fillId="3" borderId="0" xfId="0" applyFont="1" applyFill="1" applyAlignment="1">
      <alignment horizontal="center" vertical="center"/>
    </xf>
    <xf numFmtId="0" fontId="0" fillId="0" borderId="0" xfId="0"/>
    <xf numFmtId="0" fontId="4" fillId="0" borderId="0" xfId="0" applyFont="1"/>
    <xf numFmtId="0" fontId="8" fillId="0" borderId="0" xfId="0" applyFont="1" applyAlignment="1">
      <alignment horizontal="left" vertical="center"/>
    </xf>
    <xf numFmtId="0" fontId="1" fillId="2" borderId="0" xfId="0" applyFont="1" applyFill="1" applyAlignment="1">
      <alignment horizontal="center" vertical="center"/>
    </xf>
    <xf numFmtId="0" fontId="3" fillId="0" borderId="0" xfId="0" applyFont="1" applyAlignment="1">
      <alignment horizontal="right"/>
    </xf>
    <xf numFmtId="0" fontId="11" fillId="0" borderId="2" xfId="0" applyFont="1" applyBorder="1" applyAlignment="1">
      <alignment horizontal="center" vertical="center"/>
    </xf>
    <xf numFmtId="0" fontId="0" fillId="0" borderId="2" xfId="0" applyBorder="1"/>
    <xf numFmtId="0" fontId="15" fillId="0" borderId="0" xfId="0" applyFont="1" applyAlignment="1">
      <alignment horizontal="center"/>
    </xf>
  </cellXfs>
  <cellStyles count="3">
    <cellStyle name="Hyperlink" xfId="2"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ec.europa.eu/eurostat/web/products-eurostat-news/w/wdn-20260318-1" TargetMode="External"/><Relationship Id="rId1" Type="http://schemas.openxmlformats.org/officeDocument/2006/relationships/hyperlink" Target="https://energy.ec.europa.eu/data-and-analysis/weekly-oil-bulletin_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411FF-1BEB-794E-BCFF-5F9E84B4DA72}">
  <dimension ref="A1:A6"/>
  <sheetViews>
    <sheetView showGridLines="0" zoomScaleNormal="100" workbookViewId="0">
      <selection activeCell="A2" sqref="A2"/>
    </sheetView>
  </sheetViews>
  <sheetFormatPr defaultColWidth="11.42578125" defaultRowHeight="15" x14ac:dyDescent="0.25"/>
  <cols>
    <col min="1" max="1" width="193.28515625" customWidth="1"/>
  </cols>
  <sheetData>
    <row r="1" spans="1:1" x14ac:dyDescent="0.25">
      <c r="A1" s="36" t="s">
        <v>294</v>
      </c>
    </row>
    <row r="2" spans="1:1" ht="75" x14ac:dyDescent="0.3">
      <c r="A2" s="34" t="s">
        <v>290</v>
      </c>
    </row>
    <row r="4" spans="1:1" x14ac:dyDescent="0.25">
      <c r="A4" t="s">
        <v>291</v>
      </c>
    </row>
    <row r="5" spans="1:1" x14ac:dyDescent="0.25">
      <c r="A5" s="35" t="s">
        <v>292</v>
      </c>
    </row>
    <row r="6" spans="1:1" x14ac:dyDescent="0.25">
      <c r="A6" s="35" t="s">
        <v>293</v>
      </c>
    </row>
  </sheetData>
  <hyperlinks>
    <hyperlink ref="A6" r:id="rId1" xr:uid="{D0C58CCD-72B4-1D45-933B-7883A07836E9}"/>
    <hyperlink ref="A5" r:id="rId2" xr:uid="{21317774-E5BE-6F44-8E16-76B62E8C4728}"/>
  </hyperlink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8"/>
  <sheetViews>
    <sheetView tabSelected="1" zoomScale="85" workbookViewId="0">
      <pane xSplit="1" ySplit="8" topLeftCell="B9" activePane="bottomRight" state="frozen"/>
      <selection pane="topRight"/>
      <selection pane="bottomLeft"/>
      <selection pane="bottomRight" activeCell="A2" sqref="A2:G2"/>
    </sheetView>
  </sheetViews>
  <sheetFormatPr defaultColWidth="8.85546875" defaultRowHeight="15" x14ac:dyDescent="0.25"/>
  <cols>
    <col min="1" max="1" width="20" customWidth="1"/>
    <col min="2" max="3" width="13" customWidth="1"/>
    <col min="4" max="4" width="20.85546875" customWidth="1"/>
    <col min="5" max="6" width="13" customWidth="1"/>
    <col min="7" max="7" width="38" customWidth="1"/>
    <col min="8" max="8" width="19.140625" customWidth="1"/>
    <col min="9" max="9" width="8.85546875" customWidth="1"/>
  </cols>
  <sheetData>
    <row r="1" spans="1:10" ht="36" customHeight="1" x14ac:dyDescent="0.25">
      <c r="A1" s="41" t="s">
        <v>0</v>
      </c>
      <c r="B1" s="38"/>
      <c r="C1" s="38"/>
      <c r="D1" s="38"/>
      <c r="E1" s="38"/>
      <c r="F1" s="38"/>
      <c r="G1" s="38"/>
    </row>
    <row r="2" spans="1:10" ht="21.95" customHeight="1" x14ac:dyDescent="0.25">
      <c r="A2" s="37" t="s">
        <v>1</v>
      </c>
      <c r="B2" s="38"/>
      <c r="C2" s="38"/>
      <c r="D2" s="38"/>
      <c r="E2" s="38"/>
      <c r="F2" s="38"/>
      <c r="G2" s="38"/>
    </row>
    <row r="3" spans="1:10" ht="8.1" customHeight="1" x14ac:dyDescent="0.25"/>
    <row r="4" spans="1:10" ht="18" customHeight="1" x14ac:dyDescent="0.25">
      <c r="A4" s="42" t="s">
        <v>2</v>
      </c>
      <c r="B4" s="38"/>
      <c r="C4" s="39" t="s">
        <v>3</v>
      </c>
      <c r="D4" s="38"/>
      <c r="E4" s="38"/>
      <c r="F4" s="38"/>
      <c r="G4" s="38"/>
    </row>
    <row r="5" spans="1:10" ht="18" customHeight="1" x14ac:dyDescent="0.25">
      <c r="A5" s="42" t="s">
        <v>4</v>
      </c>
      <c r="B5" s="38"/>
      <c r="C5" s="39" t="s">
        <v>5</v>
      </c>
      <c r="D5" s="38"/>
      <c r="E5" s="38"/>
      <c r="F5" s="38"/>
      <c r="G5" s="38"/>
    </row>
    <row r="6" spans="1:10" ht="8.1" customHeight="1" x14ac:dyDescent="0.25"/>
    <row r="7" spans="1:10" ht="21.95" customHeight="1" x14ac:dyDescent="0.25">
      <c r="A7" s="13"/>
      <c r="B7" s="43" t="s">
        <v>274</v>
      </c>
      <c r="C7" s="44"/>
      <c r="D7" s="44"/>
      <c r="E7" s="32"/>
      <c r="F7" s="33"/>
      <c r="G7" s="33"/>
      <c r="H7" s="32"/>
      <c r="I7" s="33"/>
      <c r="J7" s="33"/>
    </row>
    <row r="8" spans="1:10" ht="30" customHeight="1" x14ac:dyDescent="0.25">
      <c r="A8" s="17" t="s">
        <v>6</v>
      </c>
      <c r="B8" s="18" t="s">
        <v>7</v>
      </c>
      <c r="C8" s="18" t="s">
        <v>8</v>
      </c>
      <c r="D8" s="18" t="s">
        <v>9</v>
      </c>
      <c r="E8" s="18" t="s">
        <v>288</v>
      </c>
    </row>
    <row r="9" spans="1:10" ht="18" customHeight="1" x14ac:dyDescent="0.25">
      <c r="A9" s="19" t="s">
        <v>10</v>
      </c>
      <c r="B9" s="20">
        <v>1509</v>
      </c>
      <c r="C9" s="20">
        <v>1743</v>
      </c>
      <c r="D9" s="21">
        <f t="shared" ref="D9:D35" si="0">(C9-B9)/B9</f>
        <v>0.15506958250497019</v>
      </c>
      <c r="E9" s="3">
        <v>77.256</v>
      </c>
    </row>
    <row r="10" spans="1:10" ht="18" customHeight="1" x14ac:dyDescent="0.25">
      <c r="A10" s="23" t="s">
        <v>11</v>
      </c>
      <c r="B10" s="3">
        <v>1503.73</v>
      </c>
      <c r="C10" s="3">
        <v>1691.38</v>
      </c>
      <c r="D10" s="24">
        <f t="shared" si="0"/>
        <v>0.1247896896384325</v>
      </c>
      <c r="E10" s="3">
        <v>98.643000000000001</v>
      </c>
    </row>
    <row r="11" spans="1:10" ht="18" customHeight="1" x14ac:dyDescent="0.25">
      <c r="A11" s="26" t="s">
        <v>12</v>
      </c>
      <c r="B11" s="3">
        <v>1218</v>
      </c>
      <c r="C11" s="3">
        <v>1331.2</v>
      </c>
      <c r="D11" s="24">
        <f t="shared" si="0"/>
        <v>9.2939244663382631E-2</v>
      </c>
      <c r="E11" s="3">
        <v>97.921000000000006</v>
      </c>
    </row>
    <row r="12" spans="1:10" ht="18" customHeight="1" x14ac:dyDescent="0.25">
      <c r="A12" s="23" t="s">
        <v>13</v>
      </c>
      <c r="B12" s="3">
        <v>1471</v>
      </c>
      <c r="C12" s="3">
        <v>1550</v>
      </c>
      <c r="D12" s="24">
        <f t="shared" si="0"/>
        <v>5.3704962610469066E-2</v>
      </c>
      <c r="E12" s="3">
        <v>69.227999999999994</v>
      </c>
    </row>
    <row r="13" spans="1:10" ht="18" customHeight="1" x14ac:dyDescent="0.25">
      <c r="A13" s="26" t="s">
        <v>14</v>
      </c>
      <c r="B13" s="3">
        <v>1312.02</v>
      </c>
      <c r="C13" s="3">
        <v>1424.02</v>
      </c>
      <c r="D13" s="24">
        <f t="shared" si="0"/>
        <v>8.5364552369628519E-2</v>
      </c>
      <c r="E13" s="3">
        <v>0</v>
      </c>
    </row>
    <row r="14" spans="1:10" ht="18" customHeight="1" x14ac:dyDescent="0.25">
      <c r="A14" s="23" t="s">
        <v>15</v>
      </c>
      <c r="B14" s="3">
        <v>1371.7954010651035</v>
      </c>
      <c r="C14" s="3">
        <v>1561.3439188083155</v>
      </c>
      <c r="D14" s="24">
        <f t="shared" si="0"/>
        <v>0.13817550167907017</v>
      </c>
      <c r="E14" s="3">
        <v>84.171000000000006</v>
      </c>
    </row>
    <row r="15" spans="1:10" ht="18" customHeight="1" x14ac:dyDescent="0.25">
      <c r="A15" s="26" t="s">
        <v>16</v>
      </c>
      <c r="B15" s="3">
        <v>1938.238719263255</v>
      </c>
      <c r="C15" s="3">
        <v>2178.8008565310488</v>
      </c>
      <c r="D15" s="24">
        <f t="shared" si="0"/>
        <v>0.12411378169105712</v>
      </c>
      <c r="E15" s="3">
        <v>-17.456</v>
      </c>
    </row>
    <row r="16" spans="1:10" ht="18" customHeight="1" x14ac:dyDescent="0.25">
      <c r="A16" s="23" t="s">
        <v>17</v>
      </c>
      <c r="B16" s="3">
        <v>1453</v>
      </c>
      <c r="C16" s="3">
        <v>1654</v>
      </c>
      <c r="D16" s="24">
        <f t="shared" si="0"/>
        <v>0.13833448038540949</v>
      </c>
      <c r="E16" s="3">
        <v>100</v>
      </c>
    </row>
    <row r="17" spans="1:5" ht="18" customHeight="1" x14ac:dyDescent="0.25">
      <c r="A17" s="26" t="s">
        <v>18</v>
      </c>
      <c r="B17" s="3">
        <v>1712.5454545454543</v>
      </c>
      <c r="C17" s="3">
        <v>1958.7916666666699</v>
      </c>
      <c r="D17" s="24">
        <f t="shared" si="0"/>
        <v>0.14378959195951654</v>
      </c>
      <c r="E17" s="3">
        <v>100.52500000000001</v>
      </c>
    </row>
    <row r="18" spans="1:5" ht="18" customHeight="1" x14ac:dyDescent="0.25">
      <c r="A18" s="23" t="s">
        <v>19</v>
      </c>
      <c r="B18" s="3">
        <v>1710.27</v>
      </c>
      <c r="C18" s="3">
        <v>1897.93</v>
      </c>
      <c r="D18" s="24">
        <f t="shared" si="0"/>
        <v>0.10972536500084787</v>
      </c>
      <c r="E18" s="3">
        <v>90.754000000000005</v>
      </c>
    </row>
    <row r="19" spans="1:5" ht="18" customHeight="1" x14ac:dyDescent="0.25">
      <c r="A19" s="27" t="s">
        <v>20</v>
      </c>
      <c r="B19" s="28">
        <v>1824</v>
      </c>
      <c r="C19" s="28">
        <v>2085</v>
      </c>
      <c r="D19" s="29">
        <f t="shared" si="0"/>
        <v>0.14309210526315788</v>
      </c>
      <c r="E19" s="28">
        <v>91.578000000000003</v>
      </c>
    </row>
    <row r="20" spans="1:5" ht="18" customHeight="1" x14ac:dyDescent="0.25">
      <c r="A20" s="23" t="s">
        <v>21</v>
      </c>
      <c r="B20" s="3">
        <v>1738</v>
      </c>
      <c r="C20" s="3">
        <v>1924</v>
      </c>
      <c r="D20" s="24">
        <f t="shared" si="0"/>
        <v>0.10701956271576525</v>
      </c>
      <c r="E20" s="3">
        <v>101.292</v>
      </c>
    </row>
    <row r="21" spans="1:5" ht="18" customHeight="1" x14ac:dyDescent="0.25">
      <c r="A21" s="26" t="s">
        <v>22</v>
      </c>
      <c r="B21" s="3">
        <v>1461.653572978631</v>
      </c>
      <c r="C21" s="3">
        <v>1537.3960366797726</v>
      </c>
      <c r="D21" s="24">
        <f t="shared" si="0"/>
        <v>5.1819709609295286E-2</v>
      </c>
      <c r="E21" s="3">
        <v>65.671000000000006</v>
      </c>
    </row>
    <row r="22" spans="1:5" ht="18" customHeight="1" x14ac:dyDescent="0.25">
      <c r="A22" s="23" t="s">
        <v>23</v>
      </c>
      <c r="B22" s="3">
        <v>1738.6</v>
      </c>
      <c r="C22" s="3">
        <v>1834.5</v>
      </c>
      <c r="D22" s="24">
        <f t="shared" si="0"/>
        <v>5.515932359369613E-2</v>
      </c>
      <c r="E22" s="3">
        <v>79.459000000000003</v>
      </c>
    </row>
    <row r="23" spans="1:5" ht="18" customHeight="1" x14ac:dyDescent="0.25">
      <c r="A23" s="26" t="s">
        <v>24</v>
      </c>
      <c r="B23" s="3">
        <v>1654.56</v>
      </c>
      <c r="C23" s="3">
        <v>1819.19</v>
      </c>
      <c r="D23" s="24">
        <f t="shared" si="0"/>
        <v>9.9500773619572644E-2</v>
      </c>
      <c r="E23" s="3">
        <v>95.188000000000002</v>
      </c>
    </row>
    <row r="24" spans="1:5" ht="18" customHeight="1" x14ac:dyDescent="0.25">
      <c r="A24" s="23" t="s">
        <v>25</v>
      </c>
      <c r="B24" s="3">
        <v>1531.67</v>
      </c>
      <c r="C24" s="3">
        <v>1677.4</v>
      </c>
      <c r="D24" s="24">
        <f t="shared" si="0"/>
        <v>9.5144515463513685E-2</v>
      </c>
      <c r="E24" s="3">
        <v>100.10299999999999</v>
      </c>
    </row>
    <row r="25" spans="1:5" ht="18" customHeight="1" x14ac:dyDescent="0.25">
      <c r="A25" s="26" t="s">
        <v>26</v>
      </c>
      <c r="B25" s="3">
        <v>1457.51</v>
      </c>
      <c r="C25" s="3">
        <v>1635.4</v>
      </c>
      <c r="D25" s="24">
        <f t="shared" si="0"/>
        <v>0.12205062057893264</v>
      </c>
      <c r="E25" s="3">
        <v>99.183999999999997</v>
      </c>
    </row>
    <row r="26" spans="1:5" ht="18" customHeight="1" x14ac:dyDescent="0.25">
      <c r="A26" s="23" t="s">
        <v>27</v>
      </c>
      <c r="B26" s="3">
        <v>1457</v>
      </c>
      <c r="C26" s="3">
        <v>1654</v>
      </c>
      <c r="D26" s="24">
        <f t="shared" si="0"/>
        <v>0.13520933424845574</v>
      </c>
      <c r="E26" s="3">
        <v>100</v>
      </c>
    </row>
    <row r="27" spans="1:5" ht="18" customHeight="1" x14ac:dyDescent="0.25">
      <c r="A27" s="26" t="s">
        <v>28</v>
      </c>
      <c r="B27" s="3">
        <v>1340</v>
      </c>
      <c r="C27" s="3">
        <v>1340</v>
      </c>
      <c r="D27" s="24">
        <f t="shared" si="0"/>
        <v>0</v>
      </c>
      <c r="E27" s="3">
        <v>102.02800000000001</v>
      </c>
    </row>
    <row r="28" spans="1:5" ht="18" customHeight="1" x14ac:dyDescent="0.25">
      <c r="A28" s="23" t="s">
        <v>29</v>
      </c>
      <c r="B28" s="3">
        <v>2061.5</v>
      </c>
      <c r="C28" s="3">
        <v>2262.13</v>
      </c>
      <c r="D28" s="24">
        <f t="shared" si="0"/>
        <v>9.7322338103322872E-2</v>
      </c>
      <c r="E28" s="3">
        <v>56.484000000000002</v>
      </c>
    </row>
    <row r="29" spans="1:5" ht="18" customHeight="1" x14ac:dyDescent="0.25">
      <c r="A29" s="26" t="s">
        <v>30</v>
      </c>
      <c r="B29" s="3">
        <v>1376.6805441992369</v>
      </c>
      <c r="C29" s="3">
        <v>1578.2128085142351</v>
      </c>
      <c r="D29" s="24">
        <f t="shared" si="0"/>
        <v>0.14638999960024998</v>
      </c>
      <c r="E29" s="3">
        <v>78.67</v>
      </c>
    </row>
    <row r="30" spans="1:5" ht="18" customHeight="1" x14ac:dyDescent="0.25">
      <c r="A30" s="23" t="s">
        <v>31</v>
      </c>
      <c r="B30" s="3">
        <v>1686</v>
      </c>
      <c r="C30" s="3">
        <v>1849</v>
      </c>
      <c r="D30" s="24">
        <f t="shared" si="0"/>
        <v>9.6678529062870694E-2</v>
      </c>
      <c r="E30" s="3">
        <v>98.95</v>
      </c>
    </row>
    <row r="31" spans="1:5" ht="18" customHeight="1" x14ac:dyDescent="0.25">
      <c r="A31" s="26" t="s">
        <v>32</v>
      </c>
      <c r="B31" s="3">
        <v>1545.9985481371029</v>
      </c>
      <c r="C31" s="3">
        <v>1673.0857557854245</v>
      </c>
      <c r="D31" s="24">
        <f t="shared" si="0"/>
        <v>8.2203963128852239E-2</v>
      </c>
      <c r="E31" s="3">
        <v>-0.46800000000000003</v>
      </c>
    </row>
    <row r="32" spans="1:5" ht="18" customHeight="1" x14ac:dyDescent="0.25">
      <c r="A32" s="23" t="s">
        <v>33</v>
      </c>
      <c r="B32" s="3">
        <v>1474</v>
      </c>
      <c r="C32" s="3">
        <v>1524</v>
      </c>
      <c r="D32" s="24">
        <f t="shared" si="0"/>
        <v>3.3921302578018994E-2</v>
      </c>
      <c r="E32" s="3">
        <v>91.617999999999995</v>
      </c>
    </row>
    <row r="33" spans="1:11" ht="18" customHeight="1" x14ac:dyDescent="0.25">
      <c r="A33" s="26" t="s">
        <v>34</v>
      </c>
      <c r="B33" s="3">
        <v>1419.7</v>
      </c>
      <c r="C33" s="3">
        <v>1443.02</v>
      </c>
      <c r="D33" s="24">
        <f t="shared" si="0"/>
        <v>1.6426005494118431E-2</v>
      </c>
      <c r="E33" s="3">
        <v>99.543999999999997</v>
      </c>
    </row>
    <row r="34" spans="1:11" ht="18" customHeight="1" x14ac:dyDescent="0.25">
      <c r="A34" s="23" t="s">
        <v>35</v>
      </c>
      <c r="B34" s="3">
        <v>1471.213927</v>
      </c>
      <c r="C34" s="3">
        <v>1708.742645</v>
      </c>
      <c r="D34" s="24">
        <f t="shared" si="0"/>
        <v>0.16145083569481464</v>
      </c>
      <c r="E34" s="3">
        <v>97.391000000000005</v>
      </c>
    </row>
    <row r="35" spans="1:11" ht="18" customHeight="1" x14ac:dyDescent="0.25">
      <c r="A35" s="26" t="s">
        <v>36</v>
      </c>
      <c r="B35" s="3">
        <v>1433.500070122949</v>
      </c>
      <c r="C35" s="3">
        <v>1654.471167239298</v>
      </c>
      <c r="D35" s="24">
        <f t="shared" si="0"/>
        <v>0.15414794998747136</v>
      </c>
      <c r="E35" s="3">
        <v>99.072999999999993</v>
      </c>
    </row>
    <row r="36" spans="1:11" ht="21.95" customHeight="1" x14ac:dyDescent="0.25">
      <c r="A36" s="14" t="s">
        <v>37</v>
      </c>
      <c r="B36" s="15">
        <v>1.6372311429999999</v>
      </c>
      <c r="C36" s="15">
        <v>1.837994677</v>
      </c>
      <c r="D36" s="16">
        <v>0.1226238181813037</v>
      </c>
      <c r="E36" s="15">
        <v>1.5944156549999999</v>
      </c>
      <c r="K36" s="31"/>
    </row>
    <row r="38" spans="1:11" ht="15.95" customHeight="1" x14ac:dyDescent="0.25">
      <c r="A38" s="40"/>
      <c r="B38" s="38"/>
      <c r="C38" s="38"/>
      <c r="D38" s="38"/>
      <c r="E38" s="38"/>
      <c r="F38" s="38"/>
      <c r="G38" s="38"/>
    </row>
  </sheetData>
  <autoFilter ref="A8:K36" xr:uid="{00000000-0001-0000-0000-000000000000}"/>
  <mergeCells count="9">
    <mergeCell ref="A2:G2"/>
    <mergeCell ref="C4:D4"/>
    <mergeCell ref="A38:G38"/>
    <mergeCell ref="E4:G5"/>
    <mergeCell ref="A1:G1"/>
    <mergeCell ref="A4:B4"/>
    <mergeCell ref="B7:D7"/>
    <mergeCell ref="C5:D5"/>
    <mergeCell ref="A5:B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D90B2-CD7F-E449-A62D-75398A972954}">
  <dimension ref="B3:F31"/>
  <sheetViews>
    <sheetView workbookViewId="0">
      <selection activeCell="F5" sqref="F5"/>
    </sheetView>
  </sheetViews>
  <sheetFormatPr defaultColWidth="11.42578125" defaultRowHeight="15" x14ac:dyDescent="0.25"/>
  <cols>
    <col min="2" max="2" width="19.85546875" customWidth="1"/>
    <col min="3" max="6" width="38" customWidth="1"/>
  </cols>
  <sheetData>
    <row r="3" spans="2:6" x14ac:dyDescent="0.25">
      <c r="C3" s="43" t="s">
        <v>46</v>
      </c>
      <c r="D3" s="44"/>
      <c r="E3" s="44"/>
    </row>
    <row r="4" spans="2:6" ht="24" x14ac:dyDescent="0.25">
      <c r="B4" s="17" t="s">
        <v>6</v>
      </c>
      <c r="C4" s="18" t="s">
        <v>7</v>
      </c>
      <c r="D4" s="18" t="s">
        <v>8</v>
      </c>
      <c r="E4" s="18" t="s">
        <v>9</v>
      </c>
      <c r="F4" s="18" t="s">
        <v>288</v>
      </c>
    </row>
    <row r="5" spans="2:6" x14ac:dyDescent="0.25">
      <c r="B5" s="23" t="s">
        <v>35</v>
      </c>
      <c r="C5" s="25">
        <v>1423.1723609999999</v>
      </c>
      <c r="D5" s="25">
        <v>1836.787014</v>
      </c>
      <c r="E5" s="24">
        <f t="shared" ref="E5:E31" si="0">(C5-D5)/C5</f>
        <v>-0.29062864367979396</v>
      </c>
      <c r="F5" s="3">
        <v>97.391000000000005</v>
      </c>
    </row>
    <row r="6" spans="2:6" x14ac:dyDescent="0.25">
      <c r="B6" s="23" t="s">
        <v>15</v>
      </c>
      <c r="C6" s="25">
        <v>1362.5067085001858</v>
      </c>
      <c r="D6" s="25">
        <v>1740.9150433786217</v>
      </c>
      <c r="E6" s="24">
        <f t="shared" si="0"/>
        <v>-0.27772952053570332</v>
      </c>
      <c r="F6" s="3">
        <v>84.171000000000006</v>
      </c>
    </row>
    <row r="7" spans="2:6" x14ac:dyDescent="0.25">
      <c r="B7" s="23" t="s">
        <v>17</v>
      </c>
      <c r="C7" s="25">
        <v>1391</v>
      </c>
      <c r="D7" s="25">
        <v>1775</v>
      </c>
      <c r="E7" s="24">
        <f t="shared" si="0"/>
        <v>-0.2760603882099209</v>
      </c>
      <c r="F7" s="3">
        <v>100</v>
      </c>
    </row>
    <row r="8" spans="2:6" x14ac:dyDescent="0.25">
      <c r="B8" s="26" t="s">
        <v>36</v>
      </c>
      <c r="C8" s="25">
        <v>1571.2215417699033</v>
      </c>
      <c r="D8" s="25">
        <v>1988.3926084130374</v>
      </c>
      <c r="E8" s="24">
        <f t="shared" si="0"/>
        <v>-0.26550747654160312</v>
      </c>
      <c r="F8" s="3">
        <v>99.072999999999993</v>
      </c>
    </row>
    <row r="9" spans="2:6" x14ac:dyDescent="0.25">
      <c r="B9" s="19" t="s">
        <v>10</v>
      </c>
      <c r="C9" s="22">
        <v>1546</v>
      </c>
      <c r="D9" s="22">
        <v>1954</v>
      </c>
      <c r="E9" s="21">
        <f t="shared" si="0"/>
        <v>-0.26390685640362227</v>
      </c>
      <c r="F9" s="3">
        <v>77.256</v>
      </c>
    </row>
    <row r="10" spans="2:6" x14ac:dyDescent="0.25">
      <c r="B10" s="23" t="s">
        <v>25</v>
      </c>
      <c r="C10" s="25">
        <v>1528</v>
      </c>
      <c r="D10" s="25">
        <v>1919</v>
      </c>
      <c r="E10" s="24">
        <f t="shared" si="0"/>
        <v>-0.25589005235602097</v>
      </c>
      <c r="F10" s="3">
        <v>100.10299999999999</v>
      </c>
    </row>
    <row r="11" spans="2:6" x14ac:dyDescent="0.25">
      <c r="B11" s="26" t="s">
        <v>30</v>
      </c>
      <c r="C11" s="25">
        <v>1423.7427228712033</v>
      </c>
      <c r="D11" s="25">
        <v>1782.1431283348586</v>
      </c>
      <c r="E11" s="24">
        <f t="shared" si="0"/>
        <v>-0.25173115880155927</v>
      </c>
      <c r="F11" s="3">
        <v>78.67</v>
      </c>
    </row>
    <row r="12" spans="2:6" x14ac:dyDescent="0.25">
      <c r="B12" s="26" t="s">
        <v>16</v>
      </c>
      <c r="C12" s="25">
        <v>1780.2883263951169</v>
      </c>
      <c r="D12" s="25">
        <v>2208.2441113490363</v>
      </c>
      <c r="E12" s="24">
        <f t="shared" si="0"/>
        <v>-0.24038566035001849</v>
      </c>
      <c r="F12" s="3">
        <v>-17.456</v>
      </c>
    </row>
    <row r="13" spans="2:6" x14ac:dyDescent="0.25">
      <c r="B13" s="27" t="s">
        <v>20</v>
      </c>
      <c r="C13" s="30">
        <v>1733</v>
      </c>
      <c r="D13" s="30">
        <v>2146</v>
      </c>
      <c r="E13" s="29">
        <f t="shared" si="0"/>
        <v>-0.23831506058857474</v>
      </c>
      <c r="F13" s="28">
        <v>91.578000000000003</v>
      </c>
    </row>
    <row r="14" spans="2:6" x14ac:dyDescent="0.25">
      <c r="B14" s="23" t="s">
        <v>21</v>
      </c>
      <c r="C14" s="25">
        <v>1548</v>
      </c>
      <c r="D14" s="25">
        <v>1902</v>
      </c>
      <c r="E14" s="24">
        <f t="shared" si="0"/>
        <v>-0.22868217054263565</v>
      </c>
      <c r="F14" s="3">
        <v>101.292</v>
      </c>
    </row>
    <row r="15" spans="2:6" x14ac:dyDescent="0.25">
      <c r="B15" s="23" t="s">
        <v>19</v>
      </c>
      <c r="C15" s="25">
        <v>1649.72</v>
      </c>
      <c r="D15" s="25">
        <v>2017.37</v>
      </c>
      <c r="E15" s="24">
        <f t="shared" si="0"/>
        <v>-0.2228559998060276</v>
      </c>
      <c r="F15" s="3">
        <v>90.754000000000005</v>
      </c>
    </row>
    <row r="16" spans="2:6" x14ac:dyDescent="0.25">
      <c r="B16" s="23" t="s">
        <v>27</v>
      </c>
      <c r="C16" s="25">
        <v>1465</v>
      </c>
      <c r="D16" s="25">
        <v>1780</v>
      </c>
      <c r="E16" s="24">
        <f t="shared" si="0"/>
        <v>-0.21501706484641639</v>
      </c>
      <c r="F16" s="3">
        <v>100</v>
      </c>
    </row>
    <row r="17" spans="2:6" x14ac:dyDescent="0.25">
      <c r="B17" s="26" t="s">
        <v>18</v>
      </c>
      <c r="C17" s="25">
        <v>1737.9090909090905</v>
      </c>
      <c r="D17" s="25">
        <v>2108.25</v>
      </c>
      <c r="E17" s="24">
        <f t="shared" si="0"/>
        <v>-0.21309567400742821</v>
      </c>
      <c r="F17" s="3">
        <v>100.52500000000001</v>
      </c>
    </row>
    <row r="18" spans="2:6" x14ac:dyDescent="0.25">
      <c r="B18" s="23" t="s">
        <v>11</v>
      </c>
      <c r="C18" s="25">
        <v>1627.17</v>
      </c>
      <c r="D18" s="25">
        <v>1972.84</v>
      </c>
      <c r="E18" s="24">
        <f t="shared" si="0"/>
        <v>-0.21243631581211542</v>
      </c>
      <c r="F18" s="3">
        <v>98.643000000000001</v>
      </c>
    </row>
    <row r="19" spans="2:6" x14ac:dyDescent="0.25">
      <c r="B19" s="23" t="s">
        <v>29</v>
      </c>
      <c r="C19" s="25">
        <v>1873.04</v>
      </c>
      <c r="D19" s="25">
        <v>2264.15</v>
      </c>
      <c r="E19" s="24">
        <f t="shared" si="0"/>
        <v>-0.20881027634220312</v>
      </c>
      <c r="F19" s="3">
        <v>56.484000000000002</v>
      </c>
    </row>
    <row r="20" spans="2:6" x14ac:dyDescent="0.25">
      <c r="B20" s="26" t="s">
        <v>26</v>
      </c>
      <c r="C20" s="25">
        <v>1614.62</v>
      </c>
      <c r="D20" s="25">
        <v>1951.72</v>
      </c>
      <c r="E20" s="24">
        <f t="shared" si="0"/>
        <v>-0.2087797748076948</v>
      </c>
      <c r="F20" s="3">
        <v>99.183999999999997</v>
      </c>
    </row>
    <row r="21" spans="2:6" x14ac:dyDescent="0.25">
      <c r="B21" s="23" t="s">
        <v>31</v>
      </c>
      <c r="C21" s="25">
        <v>1600</v>
      </c>
      <c r="D21" s="25">
        <v>1915</v>
      </c>
      <c r="E21" s="24">
        <f t="shared" si="0"/>
        <v>-0.19687499999999999</v>
      </c>
      <c r="F21" s="3">
        <v>98.95</v>
      </c>
    </row>
    <row r="22" spans="2:6" x14ac:dyDescent="0.25">
      <c r="B22" s="26" t="s">
        <v>24</v>
      </c>
      <c r="C22" s="25">
        <v>1701.83</v>
      </c>
      <c r="D22" s="25">
        <v>2033.45</v>
      </c>
      <c r="E22" s="24">
        <f t="shared" si="0"/>
        <v>-0.19486082628699702</v>
      </c>
      <c r="F22" s="3">
        <v>95.188000000000002</v>
      </c>
    </row>
    <row r="23" spans="2:6" x14ac:dyDescent="0.25">
      <c r="B23" s="26" t="s">
        <v>12</v>
      </c>
      <c r="C23" s="25">
        <v>1227.5999999999999</v>
      </c>
      <c r="D23" s="25">
        <v>1436.8</v>
      </c>
      <c r="E23" s="24">
        <f t="shared" si="0"/>
        <v>-0.17041381557510596</v>
      </c>
      <c r="F23" s="3">
        <v>97.921000000000006</v>
      </c>
    </row>
    <row r="24" spans="2:6" x14ac:dyDescent="0.25">
      <c r="B24" s="26" t="s">
        <v>14</v>
      </c>
      <c r="C24" s="25">
        <v>1406.44</v>
      </c>
      <c r="D24" s="25">
        <v>1588.89</v>
      </c>
      <c r="E24" s="24">
        <f t="shared" si="0"/>
        <v>-0.1297246949745457</v>
      </c>
      <c r="F24" s="3">
        <v>0</v>
      </c>
    </row>
    <row r="25" spans="2:6" x14ac:dyDescent="0.25">
      <c r="B25" s="23" t="s">
        <v>13</v>
      </c>
      <c r="C25" s="25">
        <v>1494</v>
      </c>
      <c r="D25" s="25">
        <v>1672</v>
      </c>
      <c r="E25" s="24">
        <f t="shared" si="0"/>
        <v>-0.11914323962516733</v>
      </c>
      <c r="F25" s="3">
        <v>69.227999999999994</v>
      </c>
    </row>
    <row r="26" spans="2:6" x14ac:dyDescent="0.25">
      <c r="B26" s="23" t="s">
        <v>23</v>
      </c>
      <c r="C26" s="25">
        <v>1737</v>
      </c>
      <c r="D26" s="25">
        <v>1927.8</v>
      </c>
      <c r="E26" s="24">
        <f t="shared" si="0"/>
        <v>-0.1098445595854922</v>
      </c>
      <c r="F26" s="3">
        <v>79.459000000000003</v>
      </c>
    </row>
    <row r="27" spans="2:6" x14ac:dyDescent="0.25">
      <c r="B27" s="26" t="s">
        <v>32</v>
      </c>
      <c r="C27" s="25">
        <v>1607.4986756656008</v>
      </c>
      <c r="D27" s="25">
        <v>1762.7141931811493</v>
      </c>
      <c r="E27" s="24">
        <f t="shared" si="0"/>
        <v>-9.6557166649782769E-2</v>
      </c>
      <c r="F27" s="3">
        <v>-0.46800000000000003</v>
      </c>
    </row>
    <row r="28" spans="2:6" x14ac:dyDescent="0.25">
      <c r="B28" s="26" t="s">
        <v>22</v>
      </c>
      <c r="C28" s="25">
        <v>1520.7161127265392</v>
      </c>
      <c r="D28" s="25">
        <v>1637.8816028741398</v>
      </c>
      <c r="E28" s="24">
        <f t="shared" si="0"/>
        <v>-7.7046260749832507E-2</v>
      </c>
      <c r="F28" s="3">
        <v>65.671000000000006</v>
      </c>
    </row>
    <row r="29" spans="2:6" x14ac:dyDescent="0.25">
      <c r="B29" s="23" t="s">
        <v>33</v>
      </c>
      <c r="C29" s="25">
        <v>1467</v>
      </c>
      <c r="D29" s="25">
        <v>1528</v>
      </c>
      <c r="E29" s="24">
        <f t="shared" si="0"/>
        <v>-4.1581458759372872E-2</v>
      </c>
      <c r="F29" s="3">
        <v>91.617999999999995</v>
      </c>
    </row>
    <row r="30" spans="2:6" x14ac:dyDescent="0.25">
      <c r="B30" s="26" t="s">
        <v>34</v>
      </c>
      <c r="C30" s="25">
        <v>1459.7</v>
      </c>
      <c r="D30" s="25">
        <v>1483.72</v>
      </c>
      <c r="E30" s="24">
        <f t="shared" si="0"/>
        <v>-1.6455436048503105E-2</v>
      </c>
      <c r="F30" s="3">
        <v>99.543999999999997</v>
      </c>
    </row>
    <row r="31" spans="2:6" x14ac:dyDescent="0.25">
      <c r="B31" s="26" t="s">
        <v>28</v>
      </c>
      <c r="C31" s="25">
        <v>1210</v>
      </c>
      <c r="D31" s="25">
        <v>1210</v>
      </c>
      <c r="E31" s="24">
        <f t="shared" si="0"/>
        <v>0</v>
      </c>
      <c r="F31" s="3">
        <v>102.02800000000001</v>
      </c>
    </row>
  </sheetData>
  <autoFilter ref="B4:F31" xr:uid="{A5BD90B2-CD7F-E449-A62D-75398A972954}">
    <sortState ref="B5:F31">
      <sortCondition ref="E4:E31"/>
    </sortState>
  </autoFilter>
  <mergeCells count="1">
    <mergeCell ref="C3:E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E8E4E-D288-E44C-BF7B-E1F2BCF1055E}">
  <dimension ref="A5:E33"/>
  <sheetViews>
    <sheetView workbookViewId="0">
      <selection activeCell="H26" sqref="H26"/>
    </sheetView>
  </sheetViews>
  <sheetFormatPr defaultColWidth="11.42578125" defaultRowHeight="15" x14ac:dyDescent="0.25"/>
  <cols>
    <col min="1" max="5" width="22.85546875" customWidth="1"/>
  </cols>
  <sheetData>
    <row r="5" spans="1:5" x14ac:dyDescent="0.25">
      <c r="B5" s="43" t="s">
        <v>55</v>
      </c>
      <c r="C5" s="44"/>
      <c r="D5" s="44"/>
    </row>
    <row r="6" spans="1:5" ht="24" x14ac:dyDescent="0.25">
      <c r="A6" s="17" t="s">
        <v>6</v>
      </c>
      <c r="B6" s="18" t="s">
        <v>7</v>
      </c>
      <c r="C6" s="18" t="s">
        <v>8</v>
      </c>
      <c r="D6" s="18" t="s">
        <v>9</v>
      </c>
      <c r="E6" s="18" t="s">
        <v>288</v>
      </c>
    </row>
    <row r="7" spans="1:5" x14ac:dyDescent="0.25">
      <c r="A7" s="23" t="s">
        <v>27</v>
      </c>
      <c r="B7" s="3">
        <v>710</v>
      </c>
      <c r="C7" s="3">
        <v>882</v>
      </c>
      <c r="D7" s="24">
        <f t="shared" ref="D7:D24" si="0">(B7-C7)/B7</f>
        <v>-0.24225352112676057</v>
      </c>
      <c r="E7" s="3">
        <v>100</v>
      </c>
    </row>
    <row r="8" spans="1:5" x14ac:dyDescent="0.25">
      <c r="A8" s="26" t="s">
        <v>30</v>
      </c>
      <c r="B8" s="3">
        <v>663.34115499999996</v>
      </c>
      <c r="C8" s="3">
        <v>767.15231700000004</v>
      </c>
      <c r="D8" s="24">
        <f t="shared" si="0"/>
        <v>-0.15649739386364486</v>
      </c>
      <c r="E8" s="3">
        <v>78.67</v>
      </c>
    </row>
    <row r="9" spans="1:5" x14ac:dyDescent="0.25">
      <c r="A9" s="23" t="s">
        <v>29</v>
      </c>
      <c r="B9" s="3">
        <v>798.37</v>
      </c>
      <c r="C9" s="3">
        <v>920.74</v>
      </c>
      <c r="D9" s="24">
        <f t="shared" si="0"/>
        <v>-0.1532747973997019</v>
      </c>
      <c r="E9" s="3">
        <v>56.484000000000002</v>
      </c>
    </row>
    <row r="10" spans="1:5" x14ac:dyDescent="0.25">
      <c r="A10" s="26" t="s">
        <v>26</v>
      </c>
      <c r="B10" s="3">
        <v>716.14</v>
      </c>
      <c r="C10" s="3">
        <v>806.41</v>
      </c>
      <c r="D10" s="24">
        <f t="shared" si="0"/>
        <v>-0.12605077219538077</v>
      </c>
      <c r="E10" s="3">
        <v>99.183999999999997</v>
      </c>
    </row>
    <row r="11" spans="1:5" x14ac:dyDescent="0.25">
      <c r="A11" s="23" t="s">
        <v>11</v>
      </c>
      <c r="B11" s="3">
        <v>851</v>
      </c>
      <c r="C11" s="3">
        <v>937</v>
      </c>
      <c r="D11" s="24">
        <f t="shared" si="0"/>
        <v>-0.10105757931844889</v>
      </c>
      <c r="E11" s="3">
        <v>98.643000000000001</v>
      </c>
    </row>
    <row r="12" spans="1:5" x14ac:dyDescent="0.25">
      <c r="A12" s="23" t="s">
        <v>13</v>
      </c>
      <c r="B12" s="3">
        <v>912</v>
      </c>
      <c r="C12" s="3">
        <v>1000</v>
      </c>
      <c r="D12" s="24">
        <f t="shared" si="0"/>
        <v>-9.6491228070175433E-2</v>
      </c>
      <c r="E12" s="3">
        <v>69.227999999999994</v>
      </c>
    </row>
    <row r="13" spans="1:5" x14ac:dyDescent="0.25">
      <c r="A13" s="26" t="s">
        <v>12</v>
      </c>
      <c r="B13" s="3">
        <v>563.9</v>
      </c>
      <c r="C13" s="3">
        <v>615.79999999999995</v>
      </c>
      <c r="D13" s="24">
        <f t="shared" si="0"/>
        <v>-9.2037595318318816E-2</v>
      </c>
      <c r="E13" s="3">
        <v>97.921000000000006</v>
      </c>
    </row>
    <row r="14" spans="1:5" x14ac:dyDescent="0.25">
      <c r="A14" s="23" t="s">
        <v>25</v>
      </c>
      <c r="B14" s="3">
        <v>907.33</v>
      </c>
      <c r="C14" s="3">
        <v>965.25</v>
      </c>
      <c r="D14" s="24">
        <f t="shared" si="0"/>
        <v>-6.383564965337854E-2</v>
      </c>
      <c r="E14" s="3">
        <v>100.10299999999999</v>
      </c>
    </row>
    <row r="15" spans="1:5" x14ac:dyDescent="0.25">
      <c r="A15" s="23" t="s">
        <v>31</v>
      </c>
      <c r="B15" s="3">
        <v>856</v>
      </c>
      <c r="C15" s="3">
        <v>895</v>
      </c>
      <c r="D15" s="24">
        <f t="shared" si="0"/>
        <v>-4.55607476635514E-2</v>
      </c>
      <c r="E15" s="3">
        <v>98.95</v>
      </c>
    </row>
    <row r="16" spans="1:5" x14ac:dyDescent="0.25">
      <c r="A16" s="23" t="s">
        <v>15</v>
      </c>
      <c r="B16" s="3">
        <v>777.48420899999996</v>
      </c>
      <c r="C16" s="3">
        <v>811.34391900000003</v>
      </c>
      <c r="D16" s="24">
        <f t="shared" si="0"/>
        <v>-4.3550350744165488E-2</v>
      </c>
      <c r="E16" s="3">
        <v>84.171000000000006</v>
      </c>
    </row>
    <row r="17" spans="1:5" x14ac:dyDescent="0.25">
      <c r="A17" s="26" t="s">
        <v>24</v>
      </c>
      <c r="B17" s="3">
        <v>693.82</v>
      </c>
      <c r="C17" s="3">
        <v>716.09</v>
      </c>
      <c r="D17" s="24">
        <f t="shared" si="0"/>
        <v>-3.209766221786628E-2</v>
      </c>
      <c r="E17" s="3">
        <v>95.188000000000002</v>
      </c>
    </row>
    <row r="18" spans="1:5" x14ac:dyDescent="0.25">
      <c r="A18" s="23" t="s">
        <v>35</v>
      </c>
      <c r="B18" s="3">
        <v>935.77796799999999</v>
      </c>
      <c r="C18" s="3">
        <v>961.90996800000005</v>
      </c>
      <c r="D18" s="24">
        <f t="shared" si="0"/>
        <v>-2.7925427712142997E-2</v>
      </c>
      <c r="E18" s="3">
        <v>97.391000000000005</v>
      </c>
    </row>
    <row r="19" spans="1:5" x14ac:dyDescent="0.25">
      <c r="A19" s="27" t="s">
        <v>20</v>
      </c>
      <c r="B19" s="3">
        <v>1046.5</v>
      </c>
      <c r="C19" s="3">
        <v>1069</v>
      </c>
      <c r="D19" s="24">
        <f t="shared" si="0"/>
        <v>-2.150023889154324E-2</v>
      </c>
      <c r="E19" s="28">
        <v>91.578000000000003</v>
      </c>
    </row>
    <row r="20" spans="1:5" x14ac:dyDescent="0.25">
      <c r="A20" s="23" t="s">
        <v>19</v>
      </c>
      <c r="B20" s="3">
        <v>944.82</v>
      </c>
      <c r="C20" s="3">
        <v>955.88</v>
      </c>
      <c r="D20" s="24">
        <f t="shared" si="0"/>
        <v>-1.1705933405304656E-2</v>
      </c>
      <c r="E20" s="3">
        <v>90.754000000000005</v>
      </c>
    </row>
    <row r="21" spans="1:5" x14ac:dyDescent="0.25">
      <c r="A21" s="26" t="s">
        <v>22</v>
      </c>
      <c r="B21" s="3">
        <v>838.12317900000005</v>
      </c>
      <c r="C21" s="3">
        <v>846.94450600000005</v>
      </c>
      <c r="D21" s="24">
        <f t="shared" si="0"/>
        <v>-1.0525096096882909E-2</v>
      </c>
      <c r="E21" s="3">
        <v>65.671000000000006</v>
      </c>
    </row>
    <row r="22" spans="1:5" x14ac:dyDescent="0.25">
      <c r="A22" s="23" t="s">
        <v>17</v>
      </c>
      <c r="B22" s="3">
        <v>896</v>
      </c>
      <c r="C22" s="3">
        <v>903</v>
      </c>
      <c r="D22" s="24">
        <f t="shared" si="0"/>
        <v>-7.8125E-3</v>
      </c>
      <c r="E22" s="3">
        <v>100</v>
      </c>
    </row>
    <row r="23" spans="1:5" x14ac:dyDescent="0.25">
      <c r="A23" s="23" t="s">
        <v>33</v>
      </c>
      <c r="B23" s="3">
        <v>677</v>
      </c>
      <c r="C23" s="3">
        <v>681</v>
      </c>
      <c r="D23" s="24">
        <f t="shared" si="0"/>
        <v>-5.9084194977843431E-3</v>
      </c>
      <c r="E23" s="3">
        <v>91.617999999999995</v>
      </c>
    </row>
    <row r="24" spans="1:5" x14ac:dyDescent="0.25">
      <c r="A24" s="26" t="s">
        <v>32</v>
      </c>
      <c r="B24" s="3">
        <v>742.85546099999999</v>
      </c>
      <c r="C24" s="3">
        <v>747.16273799999999</v>
      </c>
      <c r="D24" s="24">
        <f t="shared" si="0"/>
        <v>-5.7982706275077102E-3</v>
      </c>
      <c r="E24" s="3">
        <v>-0.46800000000000003</v>
      </c>
    </row>
    <row r="25" spans="1:5" x14ac:dyDescent="0.25">
      <c r="A25" s="19" t="s">
        <v>10</v>
      </c>
      <c r="B25" s="3">
        <v>0</v>
      </c>
      <c r="C25" s="3">
        <v>0</v>
      </c>
      <c r="D25" s="24">
        <v>0</v>
      </c>
      <c r="E25" s="3">
        <v>77.256</v>
      </c>
    </row>
    <row r="26" spans="1:5" x14ac:dyDescent="0.25">
      <c r="A26" s="26" t="s">
        <v>14</v>
      </c>
      <c r="B26" s="3">
        <v>0</v>
      </c>
      <c r="C26" s="3">
        <v>0</v>
      </c>
      <c r="D26" s="3">
        <v>0</v>
      </c>
      <c r="E26" s="3">
        <v>0</v>
      </c>
    </row>
    <row r="27" spans="1:5" x14ac:dyDescent="0.25">
      <c r="A27" s="26" t="s">
        <v>16</v>
      </c>
      <c r="B27" s="3">
        <v>0</v>
      </c>
      <c r="C27" s="3">
        <v>0</v>
      </c>
      <c r="D27" s="3">
        <v>0</v>
      </c>
      <c r="E27" s="3">
        <v>-17.456</v>
      </c>
    </row>
    <row r="28" spans="1:5" x14ac:dyDescent="0.25">
      <c r="A28" s="26" t="s">
        <v>18</v>
      </c>
      <c r="B28" s="3">
        <v>0</v>
      </c>
      <c r="C28" s="3">
        <v>0</v>
      </c>
      <c r="D28" s="3">
        <v>0</v>
      </c>
      <c r="E28" s="3">
        <v>100.52500000000001</v>
      </c>
    </row>
    <row r="29" spans="1:5" x14ac:dyDescent="0.25">
      <c r="A29" s="23" t="s">
        <v>21</v>
      </c>
      <c r="B29" s="3">
        <v>0</v>
      </c>
      <c r="C29" s="3">
        <v>0</v>
      </c>
      <c r="D29" s="3">
        <v>0</v>
      </c>
      <c r="E29" s="3">
        <v>101.292</v>
      </c>
    </row>
    <row r="30" spans="1:5" x14ac:dyDescent="0.25">
      <c r="A30" s="23" t="s">
        <v>23</v>
      </c>
      <c r="B30" s="3">
        <v>0</v>
      </c>
      <c r="C30" s="3">
        <v>0</v>
      </c>
      <c r="D30" s="3">
        <v>0</v>
      </c>
      <c r="E30" s="3">
        <v>79.459000000000003</v>
      </c>
    </row>
    <row r="31" spans="1:5" x14ac:dyDescent="0.25">
      <c r="A31" s="26" t="s">
        <v>28</v>
      </c>
      <c r="B31" s="3">
        <v>0</v>
      </c>
      <c r="C31" s="3">
        <v>0</v>
      </c>
      <c r="D31" s="3">
        <v>0</v>
      </c>
      <c r="E31" s="3">
        <v>102.02800000000001</v>
      </c>
    </row>
    <row r="32" spans="1:5" x14ac:dyDescent="0.25">
      <c r="A32" s="26" t="s">
        <v>36</v>
      </c>
      <c r="B32" s="3">
        <v>0</v>
      </c>
      <c r="C32" s="3">
        <v>0</v>
      </c>
      <c r="D32" s="3">
        <v>0</v>
      </c>
      <c r="E32" s="3">
        <v>99.072999999999993</v>
      </c>
    </row>
    <row r="33" spans="1:5" x14ac:dyDescent="0.25">
      <c r="A33" s="26" t="s">
        <v>34</v>
      </c>
      <c r="B33" s="3">
        <v>848.14</v>
      </c>
      <c r="C33" s="3">
        <v>847.32</v>
      </c>
      <c r="D33" s="24">
        <f>(B33-C33)/B33</f>
        <v>9.6682151531579262E-4</v>
      </c>
      <c r="E33" s="3">
        <v>99.543999999999997</v>
      </c>
    </row>
  </sheetData>
  <autoFilter ref="A6:E33" xr:uid="{A5EE8E4E-D288-E44C-BF7B-E1F2BCF1055E}">
    <sortState ref="A7:E33">
      <sortCondition ref="D6:D33"/>
    </sortState>
  </autoFilter>
  <mergeCells count="1">
    <mergeCell ref="B5:D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526FF-5FBA-934A-9D50-1BADC144279D}">
  <sheetPr filterMode="1"/>
  <dimension ref="E5:L231"/>
  <sheetViews>
    <sheetView topLeftCell="F2" workbookViewId="0">
      <selection activeCell="H13" sqref="H13"/>
    </sheetView>
  </sheetViews>
  <sheetFormatPr defaultColWidth="11.42578125" defaultRowHeight="15" x14ac:dyDescent="0.25"/>
  <cols>
    <col min="5" max="6" width="26" customWidth="1"/>
    <col min="7" max="7" width="75" customWidth="1"/>
    <col min="8" max="12" width="26" customWidth="1"/>
  </cols>
  <sheetData>
    <row r="5" spans="5:12" x14ac:dyDescent="0.25">
      <c r="E5" s="1"/>
      <c r="F5" s="1"/>
      <c r="G5" s="1"/>
      <c r="H5" s="1"/>
      <c r="I5" s="45" t="s">
        <v>39</v>
      </c>
      <c r="J5" s="45"/>
      <c r="K5" s="45"/>
      <c r="L5" s="45"/>
    </row>
    <row r="6" spans="5:12" x14ac:dyDescent="0.25">
      <c r="E6" s="2" t="s">
        <v>38</v>
      </c>
      <c r="F6" s="2"/>
      <c r="G6" s="2"/>
      <c r="H6" s="3"/>
      <c r="I6" s="4">
        <v>46097</v>
      </c>
      <c r="J6" s="4">
        <v>46090</v>
      </c>
      <c r="K6" s="4">
        <v>46083</v>
      </c>
      <c r="L6" s="4">
        <v>46076</v>
      </c>
    </row>
    <row r="7" spans="5:12" x14ac:dyDescent="0.25">
      <c r="E7" s="2" t="s">
        <v>40</v>
      </c>
      <c r="F7" s="2"/>
      <c r="G7" s="2"/>
      <c r="H7" s="2">
        <v>0</v>
      </c>
      <c r="I7" s="2" t="s">
        <v>41</v>
      </c>
      <c r="J7" s="2" t="s">
        <v>41</v>
      </c>
      <c r="K7" s="2" t="s">
        <v>41</v>
      </c>
      <c r="L7" s="2" t="s">
        <v>41</v>
      </c>
    </row>
    <row r="8" spans="5:12" hidden="1" x14ac:dyDescent="0.25">
      <c r="E8" s="2" t="s">
        <v>42</v>
      </c>
      <c r="F8" s="2"/>
      <c r="G8" s="2" t="s">
        <v>43</v>
      </c>
      <c r="H8" s="2" t="s">
        <v>44</v>
      </c>
      <c r="I8" s="2">
        <v>1837.99468</v>
      </c>
      <c r="J8" s="2">
        <v>1774.0847799999999</v>
      </c>
      <c r="K8" s="2">
        <v>1664.65102</v>
      </c>
      <c r="L8" s="2">
        <v>1637.2311400000001</v>
      </c>
    </row>
    <row r="9" spans="5:12" hidden="1" x14ac:dyDescent="0.25">
      <c r="E9" s="2" t="s">
        <v>45</v>
      </c>
      <c r="F9" s="2"/>
      <c r="G9" s="2" t="s">
        <v>46</v>
      </c>
      <c r="H9" s="2" t="s">
        <v>44</v>
      </c>
      <c r="I9" s="2">
        <v>1949.54529</v>
      </c>
      <c r="J9" s="2">
        <v>1861.40362</v>
      </c>
      <c r="K9" s="2">
        <v>1629.22273</v>
      </c>
      <c r="L9" s="2">
        <v>1594.4156599999999</v>
      </c>
    </row>
    <row r="10" spans="5:12" hidden="1" x14ac:dyDescent="0.25">
      <c r="E10" s="2" t="s">
        <v>47</v>
      </c>
      <c r="F10" s="2"/>
      <c r="G10" s="2" t="s">
        <v>48</v>
      </c>
      <c r="H10" s="2" t="s">
        <v>44</v>
      </c>
      <c r="I10" s="2">
        <v>1375.4774</v>
      </c>
      <c r="J10" s="2">
        <v>1312.88291</v>
      </c>
      <c r="K10" s="2">
        <v>1062.27262</v>
      </c>
      <c r="L10" s="2">
        <v>1028.7476999999999</v>
      </c>
    </row>
    <row r="11" spans="5:12" hidden="1" x14ac:dyDescent="0.25">
      <c r="E11" s="2" t="s">
        <v>49</v>
      </c>
      <c r="F11" s="2"/>
      <c r="G11" s="2" t="s">
        <v>50</v>
      </c>
      <c r="H11" s="2" t="s">
        <v>51</v>
      </c>
      <c r="I11" s="2">
        <v>744.30212400000005</v>
      </c>
      <c r="J11" s="2">
        <v>665.21378700000002</v>
      </c>
      <c r="K11" s="2">
        <v>623.60398299999997</v>
      </c>
      <c r="L11" s="2">
        <v>602.60927700000002</v>
      </c>
    </row>
    <row r="12" spans="5:12" hidden="1" x14ac:dyDescent="0.25">
      <c r="E12" s="2" t="s">
        <v>52</v>
      </c>
      <c r="F12" s="2"/>
      <c r="G12" s="2" t="s">
        <v>53</v>
      </c>
      <c r="H12" s="2" t="s">
        <v>51</v>
      </c>
      <c r="I12" s="2">
        <v>626.37692900000002</v>
      </c>
      <c r="J12" s="2">
        <v>544.60154299999999</v>
      </c>
      <c r="K12" s="2">
        <v>442.283343</v>
      </c>
      <c r="L12" s="2">
        <v>428.75693799999999</v>
      </c>
    </row>
    <row r="13" spans="5:12" x14ac:dyDescent="0.25">
      <c r="E13" s="2" t="s">
        <v>54</v>
      </c>
      <c r="F13" s="2"/>
      <c r="G13" s="2" t="s">
        <v>55</v>
      </c>
      <c r="H13" s="2" t="s">
        <v>44</v>
      </c>
      <c r="I13" s="2">
        <v>832.17759799999999</v>
      </c>
      <c r="J13" s="2">
        <v>816.43293500000004</v>
      </c>
      <c r="K13" s="2">
        <v>791.61875599999996</v>
      </c>
      <c r="L13" s="2">
        <v>791.22876799999995</v>
      </c>
    </row>
    <row r="14" spans="5:12" hidden="1" x14ac:dyDescent="0.25">
      <c r="E14" s="2" t="s">
        <v>40</v>
      </c>
      <c r="F14" s="2"/>
      <c r="G14" s="2">
        <v>0</v>
      </c>
      <c r="H14" s="2">
        <v>0</v>
      </c>
      <c r="I14" s="2" t="s">
        <v>56</v>
      </c>
      <c r="J14" s="2" t="s">
        <v>56</v>
      </c>
      <c r="K14" s="2" t="s">
        <v>56</v>
      </c>
      <c r="L14" s="2" t="s">
        <v>56</v>
      </c>
    </row>
    <row r="15" spans="5:12" hidden="1" x14ac:dyDescent="0.25">
      <c r="E15" s="2" t="s">
        <v>57</v>
      </c>
      <c r="F15" s="2"/>
      <c r="G15" s="2" t="s">
        <v>43</v>
      </c>
      <c r="H15" s="2" t="s">
        <v>44</v>
      </c>
      <c r="I15" s="2">
        <v>1893.4482399999999</v>
      </c>
      <c r="J15" s="2">
        <v>1832.5047300000001</v>
      </c>
      <c r="K15" s="2">
        <v>1719.95534</v>
      </c>
      <c r="L15" s="2">
        <v>1686.2309700000001</v>
      </c>
    </row>
    <row r="16" spans="5:12" hidden="1" x14ac:dyDescent="0.25">
      <c r="E16" s="2" t="s">
        <v>58</v>
      </c>
      <c r="F16" s="2"/>
      <c r="G16" s="2" t="s">
        <v>46</v>
      </c>
      <c r="H16" s="2" t="s">
        <v>44</v>
      </c>
      <c r="I16" s="2">
        <v>1982.77433</v>
      </c>
      <c r="J16" s="2">
        <v>1892.93048</v>
      </c>
      <c r="K16" s="2">
        <v>1661.81503</v>
      </c>
      <c r="L16" s="2">
        <v>1620.6873599999999</v>
      </c>
    </row>
    <row r="17" spans="5:12" hidden="1" x14ac:dyDescent="0.25">
      <c r="E17" s="2" t="s">
        <v>59</v>
      </c>
      <c r="F17" s="2"/>
      <c r="G17" s="2" t="s">
        <v>48</v>
      </c>
      <c r="H17" s="2" t="s">
        <v>44</v>
      </c>
      <c r="I17" s="2">
        <v>1309.19138</v>
      </c>
      <c r="J17" s="2">
        <v>1250.97354</v>
      </c>
      <c r="K17" s="2">
        <v>1009.09459</v>
      </c>
      <c r="L17" s="2">
        <v>975.58271300000001</v>
      </c>
    </row>
    <row r="18" spans="5:12" hidden="1" x14ac:dyDescent="0.25">
      <c r="E18" s="2" t="s">
        <v>60</v>
      </c>
      <c r="F18" s="2"/>
      <c r="G18" s="2" t="s">
        <v>50</v>
      </c>
      <c r="H18" s="2" t="s">
        <v>51</v>
      </c>
      <c r="I18" s="2">
        <v>730.06617100000005</v>
      </c>
      <c r="J18" s="2">
        <v>650.62238400000001</v>
      </c>
      <c r="K18" s="2">
        <v>610.08583099999998</v>
      </c>
      <c r="L18" s="2">
        <v>588.85363299999995</v>
      </c>
    </row>
    <row r="19" spans="5:12" hidden="1" x14ac:dyDescent="0.25">
      <c r="E19" s="2" t="s">
        <v>61</v>
      </c>
      <c r="F19" s="2"/>
      <c r="G19" s="2" t="s">
        <v>53</v>
      </c>
      <c r="H19" s="2" t="s">
        <v>51</v>
      </c>
      <c r="I19" s="2">
        <v>0</v>
      </c>
      <c r="J19" s="2">
        <v>0</v>
      </c>
      <c r="K19" s="2">
        <v>0</v>
      </c>
      <c r="L19" s="2">
        <v>0</v>
      </c>
    </row>
    <row r="20" spans="5:12" x14ac:dyDescent="0.25">
      <c r="E20" s="2" t="s">
        <v>62</v>
      </c>
      <c r="F20" s="2"/>
      <c r="G20" s="2" t="s">
        <v>55</v>
      </c>
      <c r="H20" s="2" t="s">
        <v>44</v>
      </c>
      <c r="I20" s="2">
        <v>849.96660899999995</v>
      </c>
      <c r="J20" s="2">
        <v>842.34460100000001</v>
      </c>
      <c r="K20" s="2">
        <v>824.42601000000002</v>
      </c>
      <c r="L20" s="2">
        <v>823.58304499999997</v>
      </c>
    </row>
    <row r="21" spans="5:12" hidden="1" x14ac:dyDescent="0.25">
      <c r="E21" s="2" t="s">
        <v>40</v>
      </c>
      <c r="F21" s="2"/>
      <c r="G21" s="2">
        <v>0</v>
      </c>
      <c r="H21" s="2">
        <v>0</v>
      </c>
      <c r="I21" s="2" t="s">
        <v>63</v>
      </c>
      <c r="J21" s="2" t="s">
        <v>63</v>
      </c>
      <c r="K21" s="2" t="s">
        <v>63</v>
      </c>
      <c r="L21" s="2" t="s">
        <v>63</v>
      </c>
    </row>
    <row r="22" spans="5:12" hidden="1" x14ac:dyDescent="0.25">
      <c r="E22" s="2" t="s">
        <v>64</v>
      </c>
      <c r="F22" s="2" t="s">
        <v>10</v>
      </c>
      <c r="G22" s="2" t="s">
        <v>43</v>
      </c>
      <c r="H22" s="2" t="s">
        <v>44</v>
      </c>
      <c r="I22" s="2">
        <v>1743</v>
      </c>
      <c r="J22" s="2">
        <v>1708</v>
      </c>
      <c r="K22" s="2">
        <v>1515</v>
      </c>
      <c r="L22" s="2">
        <v>1509</v>
      </c>
    </row>
    <row r="23" spans="5:12" hidden="1" x14ac:dyDescent="0.25">
      <c r="E23" s="2" t="s">
        <v>65</v>
      </c>
      <c r="F23" s="2" t="s">
        <v>10</v>
      </c>
      <c r="G23" s="2" t="s">
        <v>46</v>
      </c>
      <c r="H23" s="2" t="s">
        <v>44</v>
      </c>
      <c r="I23" s="2">
        <v>1954</v>
      </c>
      <c r="J23" s="2">
        <v>1898</v>
      </c>
      <c r="K23" s="2">
        <v>1564</v>
      </c>
      <c r="L23" s="2">
        <v>1546</v>
      </c>
    </row>
    <row r="24" spans="5:12" hidden="1" x14ac:dyDescent="0.25">
      <c r="E24" s="2" t="s">
        <v>66</v>
      </c>
      <c r="F24" s="2" t="s">
        <v>10</v>
      </c>
      <c r="G24" s="2" t="s">
        <v>48</v>
      </c>
      <c r="H24" s="2" t="s">
        <v>44</v>
      </c>
      <c r="I24" s="2">
        <v>1618.39</v>
      </c>
      <c r="J24" s="2">
        <v>1624.74</v>
      </c>
      <c r="K24" s="2">
        <v>1203.73</v>
      </c>
      <c r="L24" s="2">
        <v>1098.75</v>
      </c>
    </row>
    <row r="25" spans="5:12" hidden="1" x14ac:dyDescent="0.25">
      <c r="E25" s="2" t="s">
        <v>67</v>
      </c>
      <c r="F25" s="2" t="s">
        <v>10</v>
      </c>
      <c r="G25" s="2" t="s">
        <v>50</v>
      </c>
      <c r="H25" s="2" t="s">
        <v>51</v>
      </c>
      <c r="I25" s="2">
        <v>0</v>
      </c>
      <c r="J25" s="2">
        <v>0</v>
      </c>
      <c r="K25" s="2">
        <v>0</v>
      </c>
      <c r="L25" s="2">
        <v>0</v>
      </c>
    </row>
    <row r="26" spans="5:12" hidden="1" x14ac:dyDescent="0.25">
      <c r="E26" s="2" t="s">
        <v>68</v>
      </c>
      <c r="F26" s="2" t="s">
        <v>10</v>
      </c>
      <c r="G26" s="2" t="s">
        <v>53</v>
      </c>
      <c r="H26" s="2" t="s">
        <v>51</v>
      </c>
      <c r="I26" s="2">
        <v>0</v>
      </c>
      <c r="J26" s="2">
        <v>0</v>
      </c>
      <c r="K26" s="2">
        <v>0</v>
      </c>
      <c r="L26" s="2">
        <v>0</v>
      </c>
    </row>
    <row r="27" spans="5:12" x14ac:dyDescent="0.25">
      <c r="E27" s="2" t="s">
        <v>69</v>
      </c>
      <c r="F27" s="2" t="s">
        <v>10</v>
      </c>
      <c r="G27" s="2" t="s">
        <v>55</v>
      </c>
      <c r="H27" s="2" t="s">
        <v>44</v>
      </c>
      <c r="I27" s="2">
        <v>0</v>
      </c>
      <c r="J27" s="2">
        <v>0</v>
      </c>
      <c r="K27" s="2">
        <v>0</v>
      </c>
      <c r="L27" s="2">
        <v>0</v>
      </c>
    </row>
    <row r="28" spans="5:12" hidden="1" x14ac:dyDescent="0.25">
      <c r="E28" s="2" t="s">
        <v>40</v>
      </c>
      <c r="F28" s="2"/>
      <c r="G28" s="2">
        <v>0</v>
      </c>
      <c r="H28" s="2">
        <v>0</v>
      </c>
      <c r="I28" s="2" t="s">
        <v>70</v>
      </c>
      <c r="J28" s="2" t="s">
        <v>70</v>
      </c>
      <c r="K28" s="2" t="s">
        <v>70</v>
      </c>
      <c r="L28" s="2" t="s">
        <v>70</v>
      </c>
    </row>
    <row r="29" spans="5:12" hidden="1" x14ac:dyDescent="0.25">
      <c r="E29" s="2" t="s">
        <v>71</v>
      </c>
      <c r="F29" s="2" t="s">
        <v>11</v>
      </c>
      <c r="G29" s="2" t="s">
        <v>43</v>
      </c>
      <c r="H29" s="2" t="s">
        <v>44</v>
      </c>
      <c r="I29" s="2">
        <v>1691.38</v>
      </c>
      <c r="J29" s="2">
        <v>1628.94</v>
      </c>
      <c r="K29" s="2">
        <v>1540.93</v>
      </c>
      <c r="L29" s="2">
        <v>1503.73</v>
      </c>
    </row>
    <row r="30" spans="5:12" hidden="1" x14ac:dyDescent="0.25">
      <c r="E30" s="2" t="s">
        <v>72</v>
      </c>
      <c r="F30" s="2" t="s">
        <v>11</v>
      </c>
      <c r="G30" s="2" t="s">
        <v>46</v>
      </c>
      <c r="H30" s="2" t="s">
        <v>44</v>
      </c>
      <c r="I30" s="2">
        <v>1972.84</v>
      </c>
      <c r="J30" s="2">
        <v>1846.77</v>
      </c>
      <c r="K30" s="2">
        <v>1681.41</v>
      </c>
      <c r="L30" s="2">
        <v>1627.17</v>
      </c>
    </row>
    <row r="31" spans="5:12" hidden="1" x14ac:dyDescent="0.25">
      <c r="E31" s="2" t="s">
        <v>73</v>
      </c>
      <c r="F31" s="2" t="s">
        <v>11</v>
      </c>
      <c r="G31" s="2" t="s">
        <v>48</v>
      </c>
      <c r="H31" s="2" t="s">
        <v>44</v>
      </c>
      <c r="I31" s="2">
        <v>1177.0999999999999</v>
      </c>
      <c r="J31" s="2">
        <v>1065</v>
      </c>
      <c r="K31" s="2">
        <v>832.2</v>
      </c>
      <c r="L31" s="2">
        <v>812.4</v>
      </c>
    </row>
    <row r="32" spans="5:12" hidden="1" x14ac:dyDescent="0.25">
      <c r="E32" s="2" t="s">
        <v>74</v>
      </c>
      <c r="F32" s="2" t="s">
        <v>11</v>
      </c>
      <c r="G32" s="2" t="s">
        <v>50</v>
      </c>
      <c r="H32" s="2" t="s">
        <v>51</v>
      </c>
      <c r="I32" s="2">
        <v>489.7</v>
      </c>
      <c r="J32" s="2">
        <v>424.27</v>
      </c>
      <c r="K32" s="2">
        <v>385.78</v>
      </c>
      <c r="L32" s="2">
        <v>390.17</v>
      </c>
    </row>
    <row r="33" spans="5:12" hidden="1" x14ac:dyDescent="0.25">
      <c r="E33" s="2" t="s">
        <v>75</v>
      </c>
      <c r="F33" s="2" t="s">
        <v>11</v>
      </c>
      <c r="G33" s="2" t="s">
        <v>53</v>
      </c>
      <c r="H33" s="2" t="s">
        <v>51</v>
      </c>
      <c r="I33" s="2">
        <v>0</v>
      </c>
      <c r="J33" s="2">
        <v>0</v>
      </c>
      <c r="K33" s="2">
        <v>0</v>
      </c>
      <c r="L33" s="2">
        <v>0</v>
      </c>
    </row>
    <row r="34" spans="5:12" x14ac:dyDescent="0.25">
      <c r="E34" s="2" t="s">
        <v>76</v>
      </c>
      <c r="F34" s="2" t="s">
        <v>11</v>
      </c>
      <c r="G34" s="2" t="s">
        <v>55</v>
      </c>
      <c r="H34" s="2" t="s">
        <v>44</v>
      </c>
      <c r="I34" s="2">
        <v>937</v>
      </c>
      <c r="J34" s="2">
        <v>871</v>
      </c>
      <c r="K34" s="2">
        <v>851</v>
      </c>
      <c r="L34" s="2">
        <v>851</v>
      </c>
    </row>
    <row r="35" spans="5:12" hidden="1" x14ac:dyDescent="0.25">
      <c r="E35" s="2" t="s">
        <v>40</v>
      </c>
      <c r="F35" s="2"/>
      <c r="G35" s="2">
        <v>0</v>
      </c>
      <c r="H35" s="2">
        <v>0</v>
      </c>
      <c r="I35" s="2" t="s">
        <v>77</v>
      </c>
      <c r="J35" s="2" t="s">
        <v>77</v>
      </c>
      <c r="K35" s="2" t="s">
        <v>77</v>
      </c>
      <c r="L35" s="2" t="s">
        <v>77</v>
      </c>
    </row>
    <row r="36" spans="5:12" hidden="1" x14ac:dyDescent="0.25">
      <c r="E36" s="2" t="s">
        <v>78</v>
      </c>
      <c r="F36" s="2" t="s">
        <v>12</v>
      </c>
      <c r="G36" s="2">
        <v>0</v>
      </c>
      <c r="H36" s="2">
        <v>0</v>
      </c>
      <c r="I36" s="2">
        <v>1</v>
      </c>
      <c r="J36" s="2">
        <v>1</v>
      </c>
      <c r="K36" s="2">
        <v>1</v>
      </c>
      <c r="L36" s="2">
        <v>1</v>
      </c>
    </row>
    <row r="37" spans="5:12" hidden="1" x14ac:dyDescent="0.25">
      <c r="E37" s="2" t="s">
        <v>79</v>
      </c>
      <c r="F37" s="2" t="s">
        <v>12</v>
      </c>
      <c r="G37" s="2" t="s">
        <v>43</v>
      </c>
      <c r="H37" s="2" t="s">
        <v>44</v>
      </c>
      <c r="I37" s="2">
        <v>1331.2</v>
      </c>
      <c r="J37" s="2">
        <v>1266.0999999999999</v>
      </c>
      <c r="K37" s="2">
        <v>1229.2</v>
      </c>
      <c r="L37" s="2">
        <v>1218</v>
      </c>
    </row>
    <row r="38" spans="5:12" hidden="1" x14ac:dyDescent="0.25">
      <c r="E38" s="2" t="s">
        <v>80</v>
      </c>
      <c r="F38" s="2" t="s">
        <v>12</v>
      </c>
      <c r="G38" s="2" t="s">
        <v>46</v>
      </c>
      <c r="H38" s="2" t="s">
        <v>44</v>
      </c>
      <c r="I38" s="2">
        <v>1436.8</v>
      </c>
      <c r="J38" s="2">
        <v>1306.3</v>
      </c>
      <c r="K38" s="2">
        <v>1245.2</v>
      </c>
      <c r="L38" s="2">
        <v>1227.5999999999999</v>
      </c>
    </row>
    <row r="39" spans="5:12" hidden="1" x14ac:dyDescent="0.25">
      <c r="E39" s="2" t="s">
        <v>81</v>
      </c>
      <c r="F39" s="2" t="s">
        <v>12</v>
      </c>
      <c r="G39" s="2" t="s">
        <v>48</v>
      </c>
      <c r="H39" s="2" t="s">
        <v>44</v>
      </c>
      <c r="I39" s="2">
        <v>0</v>
      </c>
      <c r="J39" s="2">
        <v>0</v>
      </c>
      <c r="K39" s="2">
        <v>0</v>
      </c>
      <c r="L39" s="2">
        <v>0</v>
      </c>
    </row>
    <row r="40" spans="5:12" hidden="1" x14ac:dyDescent="0.25">
      <c r="E40" s="2" t="s">
        <v>82</v>
      </c>
      <c r="F40" s="2" t="s">
        <v>12</v>
      </c>
      <c r="G40" s="2" t="s">
        <v>50</v>
      </c>
      <c r="H40" s="2" t="s">
        <v>51</v>
      </c>
      <c r="I40" s="2">
        <v>0</v>
      </c>
      <c r="J40" s="2">
        <v>0</v>
      </c>
      <c r="K40" s="2">
        <v>0</v>
      </c>
      <c r="L40" s="2">
        <v>0</v>
      </c>
    </row>
    <row r="41" spans="5:12" hidden="1" x14ac:dyDescent="0.25">
      <c r="E41" s="2" t="s">
        <v>83</v>
      </c>
      <c r="F41" s="2" t="s">
        <v>12</v>
      </c>
      <c r="G41" s="2" t="s">
        <v>53</v>
      </c>
      <c r="H41" s="2" t="s">
        <v>51</v>
      </c>
      <c r="I41" s="2">
        <v>0</v>
      </c>
      <c r="J41" s="2">
        <v>0</v>
      </c>
      <c r="K41" s="2">
        <v>0</v>
      </c>
      <c r="L41" s="2">
        <v>0</v>
      </c>
    </row>
    <row r="42" spans="5:12" x14ac:dyDescent="0.25">
      <c r="E42" s="2" t="s">
        <v>84</v>
      </c>
      <c r="F42" s="2" t="s">
        <v>12</v>
      </c>
      <c r="G42" s="2" t="s">
        <v>55</v>
      </c>
      <c r="H42" s="2" t="s">
        <v>44</v>
      </c>
      <c r="I42" s="2">
        <v>615.79999999999995</v>
      </c>
      <c r="J42" s="2">
        <v>582.6</v>
      </c>
      <c r="K42" s="2">
        <v>564.9</v>
      </c>
      <c r="L42" s="2">
        <v>563.9</v>
      </c>
    </row>
    <row r="43" spans="5:12" hidden="1" x14ac:dyDescent="0.25">
      <c r="E43" s="2" t="s">
        <v>40</v>
      </c>
      <c r="F43" s="2"/>
      <c r="G43" s="2">
        <v>0</v>
      </c>
      <c r="H43" s="2">
        <v>0</v>
      </c>
      <c r="I43" s="2" t="s">
        <v>85</v>
      </c>
      <c r="J43" s="2" t="s">
        <v>85</v>
      </c>
      <c r="K43" s="2" t="s">
        <v>85</v>
      </c>
      <c r="L43" s="2" t="s">
        <v>85</v>
      </c>
    </row>
    <row r="44" spans="5:12" hidden="1" x14ac:dyDescent="0.25">
      <c r="E44" s="2" t="s">
        <v>86</v>
      </c>
      <c r="F44" s="2" t="s">
        <v>14</v>
      </c>
      <c r="G44" s="2">
        <v>0</v>
      </c>
      <c r="H44" s="2">
        <v>0</v>
      </c>
      <c r="I44" s="2">
        <v>1</v>
      </c>
      <c r="J44" s="2">
        <v>1</v>
      </c>
      <c r="K44" s="2">
        <v>1</v>
      </c>
      <c r="L44" s="2">
        <v>1</v>
      </c>
    </row>
    <row r="45" spans="5:12" hidden="1" x14ac:dyDescent="0.25">
      <c r="E45" s="2" t="s">
        <v>87</v>
      </c>
      <c r="F45" s="2" t="s">
        <v>14</v>
      </c>
      <c r="G45" s="2" t="s">
        <v>43</v>
      </c>
      <c r="H45" s="2" t="s">
        <v>44</v>
      </c>
      <c r="I45" s="2">
        <v>1424.02</v>
      </c>
      <c r="J45" s="2">
        <v>1346.91</v>
      </c>
      <c r="K45" s="2">
        <v>1317.58</v>
      </c>
      <c r="L45" s="2">
        <v>1312.02</v>
      </c>
    </row>
    <row r="46" spans="5:12" hidden="1" x14ac:dyDescent="0.25">
      <c r="E46" s="2" t="s">
        <v>88</v>
      </c>
      <c r="F46" s="2" t="s">
        <v>14</v>
      </c>
      <c r="G46" s="2" t="s">
        <v>46</v>
      </c>
      <c r="H46" s="2" t="s">
        <v>44</v>
      </c>
      <c r="I46" s="2">
        <v>1588.89</v>
      </c>
      <c r="J46" s="2">
        <v>1461.95</v>
      </c>
      <c r="K46" s="2">
        <v>1417.7</v>
      </c>
      <c r="L46" s="2">
        <v>1406.44</v>
      </c>
    </row>
    <row r="47" spans="5:12" hidden="1" x14ac:dyDescent="0.25">
      <c r="E47" s="2" t="s">
        <v>89</v>
      </c>
      <c r="F47" s="2" t="s">
        <v>14</v>
      </c>
      <c r="G47" s="2" t="s">
        <v>48</v>
      </c>
      <c r="H47" s="2" t="s">
        <v>44</v>
      </c>
      <c r="I47" s="2">
        <v>1094.44</v>
      </c>
      <c r="J47" s="2">
        <v>1004.38</v>
      </c>
      <c r="K47" s="2">
        <v>950.05</v>
      </c>
      <c r="L47" s="2">
        <v>948.54</v>
      </c>
    </row>
    <row r="48" spans="5:12" hidden="1" x14ac:dyDescent="0.25">
      <c r="E48" s="2" t="s">
        <v>90</v>
      </c>
      <c r="F48" s="2" t="s">
        <v>14</v>
      </c>
      <c r="G48" s="2" t="s">
        <v>50</v>
      </c>
      <c r="H48" s="2" t="s">
        <v>51</v>
      </c>
      <c r="I48" s="2">
        <v>800.81</v>
      </c>
      <c r="J48" s="2">
        <v>800.81</v>
      </c>
      <c r="K48" s="2">
        <v>800.81</v>
      </c>
      <c r="L48" s="2">
        <v>800.81</v>
      </c>
    </row>
    <row r="49" spans="5:12" hidden="1" x14ac:dyDescent="0.25">
      <c r="E49" s="2" t="s">
        <v>91</v>
      </c>
      <c r="F49" s="2" t="s">
        <v>14</v>
      </c>
      <c r="G49" s="2" t="s">
        <v>53</v>
      </c>
      <c r="H49" s="2" t="s">
        <v>51</v>
      </c>
      <c r="I49" s="2">
        <v>0</v>
      </c>
      <c r="J49" s="2">
        <v>0</v>
      </c>
      <c r="K49" s="2">
        <v>0</v>
      </c>
      <c r="L49" s="2">
        <v>0</v>
      </c>
    </row>
    <row r="50" spans="5:12" x14ac:dyDescent="0.25">
      <c r="E50" s="2" t="s">
        <v>92</v>
      </c>
      <c r="F50" s="2" t="s">
        <v>14</v>
      </c>
      <c r="G50" s="2" t="s">
        <v>55</v>
      </c>
      <c r="H50" s="2" t="s">
        <v>44</v>
      </c>
      <c r="I50" s="2">
        <v>0</v>
      </c>
      <c r="J50" s="2">
        <v>0</v>
      </c>
      <c r="K50" s="2">
        <v>0</v>
      </c>
      <c r="L50" s="2">
        <v>0</v>
      </c>
    </row>
    <row r="51" spans="5:12" hidden="1" x14ac:dyDescent="0.25">
      <c r="E51" s="2" t="s">
        <v>40</v>
      </c>
      <c r="F51" s="2"/>
      <c r="G51" s="2">
        <v>0</v>
      </c>
      <c r="H51" s="2">
        <v>0</v>
      </c>
      <c r="I51" s="2" t="s">
        <v>93</v>
      </c>
      <c r="J51" s="2" t="s">
        <v>93</v>
      </c>
      <c r="K51" s="2" t="s">
        <v>93</v>
      </c>
      <c r="L51" s="2" t="s">
        <v>93</v>
      </c>
    </row>
    <row r="52" spans="5:12" hidden="1" x14ac:dyDescent="0.25">
      <c r="E52" s="2" t="s">
        <v>94</v>
      </c>
      <c r="F52" s="2" t="s">
        <v>15</v>
      </c>
      <c r="G52" s="2">
        <v>0</v>
      </c>
      <c r="H52" s="2">
        <v>0</v>
      </c>
      <c r="I52" s="2">
        <v>4.0923229999999998E-2</v>
      </c>
      <c r="J52" s="2">
        <v>4.1196339999999998E-2</v>
      </c>
      <c r="K52" s="2">
        <v>4.1196339999999998E-2</v>
      </c>
      <c r="L52" s="2">
        <v>4.128308E-2</v>
      </c>
    </row>
    <row r="53" spans="5:12" hidden="1" x14ac:dyDescent="0.25">
      <c r="E53" s="2" t="s">
        <v>95</v>
      </c>
      <c r="F53" s="2" t="s">
        <v>15</v>
      </c>
      <c r="G53" s="2" t="s">
        <v>43</v>
      </c>
      <c r="H53" s="2" t="s">
        <v>44</v>
      </c>
      <c r="I53" s="2">
        <v>1561.34392</v>
      </c>
      <c r="J53" s="2">
        <v>1488.67101</v>
      </c>
      <c r="K53" s="2">
        <v>1392.02439</v>
      </c>
      <c r="L53" s="2">
        <v>1371.7954</v>
      </c>
    </row>
    <row r="54" spans="5:12" hidden="1" x14ac:dyDescent="0.25">
      <c r="E54" s="2" t="s">
        <v>96</v>
      </c>
      <c r="F54" s="2" t="s">
        <v>15</v>
      </c>
      <c r="G54" s="2" t="s">
        <v>46</v>
      </c>
      <c r="H54" s="2" t="s">
        <v>44</v>
      </c>
      <c r="I54" s="2">
        <v>1740.9150400000001</v>
      </c>
      <c r="J54" s="2">
        <v>1603.69119</v>
      </c>
      <c r="K54" s="2">
        <v>1379.5007000000001</v>
      </c>
      <c r="L54" s="2">
        <v>1362.5067100000001</v>
      </c>
    </row>
    <row r="55" spans="5:12" hidden="1" x14ac:dyDescent="0.25">
      <c r="E55" s="2" t="s">
        <v>97</v>
      </c>
      <c r="F55" s="2" t="s">
        <v>15</v>
      </c>
      <c r="G55" s="2" t="s">
        <v>48</v>
      </c>
      <c r="H55" s="2" t="s">
        <v>44</v>
      </c>
      <c r="I55" s="2">
        <v>1185.9960699999999</v>
      </c>
      <c r="J55" s="2">
        <v>1093.7216800000001</v>
      </c>
      <c r="K55" s="2">
        <v>863.02216399999998</v>
      </c>
      <c r="L55" s="2">
        <v>827.64314899999999</v>
      </c>
    </row>
    <row r="56" spans="5:12" hidden="1" x14ac:dyDescent="0.25">
      <c r="E56" s="2" t="s">
        <v>98</v>
      </c>
      <c r="F56" s="2" t="s">
        <v>15</v>
      </c>
      <c r="G56" s="2" t="s">
        <v>50</v>
      </c>
      <c r="H56" s="2" t="s">
        <v>51</v>
      </c>
      <c r="I56" s="2">
        <v>0</v>
      </c>
      <c r="J56" s="2">
        <v>0</v>
      </c>
      <c r="K56" s="2">
        <v>0</v>
      </c>
      <c r="L56" s="2">
        <v>0</v>
      </c>
    </row>
    <row r="57" spans="5:12" hidden="1" x14ac:dyDescent="0.25">
      <c r="E57" s="2" t="s">
        <v>99</v>
      </c>
      <c r="F57" s="2" t="s">
        <v>15</v>
      </c>
      <c r="G57" s="2" t="s">
        <v>53</v>
      </c>
      <c r="H57" s="2" t="s">
        <v>51</v>
      </c>
      <c r="I57" s="2">
        <v>0</v>
      </c>
      <c r="J57" s="2">
        <v>0</v>
      </c>
      <c r="K57" s="2">
        <v>0</v>
      </c>
      <c r="L57" s="2">
        <v>0</v>
      </c>
    </row>
    <row r="58" spans="5:12" x14ac:dyDescent="0.25">
      <c r="E58" s="2" t="s">
        <v>100</v>
      </c>
      <c r="F58" s="2" t="s">
        <v>15</v>
      </c>
      <c r="G58" s="2" t="s">
        <v>55</v>
      </c>
      <c r="H58" s="2" t="s">
        <v>44</v>
      </c>
      <c r="I58" s="2">
        <v>811.34391900000003</v>
      </c>
      <c r="J58" s="2">
        <v>792.74120500000004</v>
      </c>
      <c r="K58" s="2">
        <v>775.93309699999998</v>
      </c>
      <c r="L58" s="2">
        <v>777.48420899999996</v>
      </c>
    </row>
    <row r="59" spans="5:12" hidden="1" x14ac:dyDescent="0.25">
      <c r="E59" s="2" t="s">
        <v>40</v>
      </c>
      <c r="F59" s="2"/>
      <c r="G59" s="2">
        <v>0</v>
      </c>
      <c r="H59" s="2">
        <v>0</v>
      </c>
      <c r="I59" s="2" t="s">
        <v>101</v>
      </c>
      <c r="J59" s="2" t="s">
        <v>101</v>
      </c>
      <c r="K59" s="2" t="s">
        <v>101</v>
      </c>
      <c r="L59" s="2" t="s">
        <v>101</v>
      </c>
    </row>
    <row r="60" spans="5:12" hidden="1" x14ac:dyDescent="0.25">
      <c r="E60" s="2" t="s">
        <v>102</v>
      </c>
      <c r="F60" s="2" t="s">
        <v>20</v>
      </c>
      <c r="G60" s="2" t="s">
        <v>43</v>
      </c>
      <c r="H60" s="2" t="s">
        <v>44</v>
      </c>
      <c r="I60" s="2">
        <v>2085</v>
      </c>
      <c r="J60" s="2">
        <v>2075</v>
      </c>
      <c r="K60" s="2">
        <v>1888</v>
      </c>
      <c r="L60" s="2">
        <v>1824</v>
      </c>
    </row>
    <row r="61" spans="5:12" hidden="1" x14ac:dyDescent="0.25">
      <c r="E61" s="2" t="s">
        <v>103</v>
      </c>
      <c r="F61" s="2" t="s">
        <v>20</v>
      </c>
      <c r="G61" s="2" t="s">
        <v>46</v>
      </c>
      <c r="H61" s="2" t="s">
        <v>44</v>
      </c>
      <c r="I61" s="2">
        <v>2146</v>
      </c>
      <c r="J61" s="2">
        <v>2163</v>
      </c>
      <c r="K61" s="2">
        <v>1812</v>
      </c>
      <c r="L61" s="2">
        <v>1733</v>
      </c>
    </row>
    <row r="62" spans="5:12" hidden="1" x14ac:dyDescent="0.25">
      <c r="E62" s="2" t="s">
        <v>104</v>
      </c>
      <c r="F62" s="2" t="s">
        <v>20</v>
      </c>
      <c r="G62" s="2" t="s">
        <v>48</v>
      </c>
      <c r="H62" s="2" t="s">
        <v>44</v>
      </c>
      <c r="I62" s="2">
        <v>1207.9000000000001</v>
      </c>
      <c r="J62" s="2">
        <v>1184.0999999999999</v>
      </c>
      <c r="K62" s="2">
        <v>989.3</v>
      </c>
      <c r="L62" s="2">
        <v>957.9</v>
      </c>
    </row>
    <row r="63" spans="5:12" hidden="1" x14ac:dyDescent="0.25">
      <c r="E63" s="2" t="s">
        <v>105</v>
      </c>
      <c r="F63" s="2" t="s">
        <v>20</v>
      </c>
      <c r="G63" s="2" t="s">
        <v>50</v>
      </c>
      <c r="H63" s="2" t="s">
        <v>51</v>
      </c>
      <c r="I63" s="2">
        <v>0</v>
      </c>
      <c r="J63" s="2">
        <v>0</v>
      </c>
      <c r="K63" s="2">
        <v>0</v>
      </c>
      <c r="L63" s="2">
        <v>0</v>
      </c>
    </row>
    <row r="64" spans="5:12" hidden="1" x14ac:dyDescent="0.25">
      <c r="E64" s="2" t="s">
        <v>106</v>
      </c>
      <c r="F64" s="2" t="s">
        <v>20</v>
      </c>
      <c r="G64" s="2" t="s">
        <v>53</v>
      </c>
      <c r="H64" s="2" t="s">
        <v>51</v>
      </c>
      <c r="I64" s="2">
        <v>0</v>
      </c>
      <c r="J64" s="2">
        <v>0</v>
      </c>
      <c r="K64" s="2">
        <v>0</v>
      </c>
      <c r="L64" s="2">
        <v>0</v>
      </c>
    </row>
    <row r="65" spans="5:12" x14ac:dyDescent="0.25">
      <c r="E65" s="2" t="s">
        <v>107</v>
      </c>
      <c r="F65" s="2" t="s">
        <v>20</v>
      </c>
      <c r="G65" s="2" t="s">
        <v>55</v>
      </c>
      <c r="H65" s="2" t="s">
        <v>44</v>
      </c>
      <c r="I65" s="2">
        <v>1069</v>
      </c>
      <c r="J65" s="2">
        <v>1075.25</v>
      </c>
      <c r="K65" s="2">
        <v>1040.25</v>
      </c>
      <c r="L65" s="2">
        <v>1046.5</v>
      </c>
    </row>
    <row r="66" spans="5:12" hidden="1" x14ac:dyDescent="0.25">
      <c r="E66" s="2" t="s">
        <v>40</v>
      </c>
      <c r="F66" s="2"/>
      <c r="G66" s="2">
        <v>0</v>
      </c>
      <c r="H66" s="2">
        <v>0</v>
      </c>
      <c r="I66" s="2" t="s">
        <v>108</v>
      </c>
      <c r="J66" s="2" t="s">
        <v>108</v>
      </c>
      <c r="K66" s="2" t="s">
        <v>108</v>
      </c>
      <c r="L66" s="2" t="s">
        <v>108</v>
      </c>
    </row>
    <row r="67" spans="5:12" hidden="1" x14ac:dyDescent="0.25">
      <c r="E67" s="2" t="s">
        <v>109</v>
      </c>
      <c r="F67" s="2" t="s">
        <v>16</v>
      </c>
      <c r="G67" s="2">
        <v>0</v>
      </c>
      <c r="H67" s="2">
        <v>0</v>
      </c>
      <c r="I67" s="2">
        <v>0.13383297999999999</v>
      </c>
      <c r="J67" s="2">
        <v>0.13385447</v>
      </c>
      <c r="K67" s="2">
        <v>0.13384731</v>
      </c>
      <c r="L67" s="2">
        <v>0.13385627</v>
      </c>
    </row>
    <row r="68" spans="5:12" hidden="1" x14ac:dyDescent="0.25">
      <c r="E68" s="2" t="s">
        <v>110</v>
      </c>
      <c r="F68" s="2" t="s">
        <v>16</v>
      </c>
      <c r="G68" s="2" t="s">
        <v>43</v>
      </c>
      <c r="H68" s="2" t="s">
        <v>44</v>
      </c>
      <c r="I68" s="2">
        <v>2178.8008599999998</v>
      </c>
      <c r="J68" s="2">
        <v>2058.6817999999998</v>
      </c>
      <c r="K68" s="2">
        <v>1951.4937399999999</v>
      </c>
      <c r="L68" s="2">
        <v>1938.2387200000001</v>
      </c>
    </row>
    <row r="69" spans="5:12" hidden="1" x14ac:dyDescent="0.25">
      <c r="E69" s="2" t="s">
        <v>111</v>
      </c>
      <c r="F69" s="2" t="s">
        <v>16</v>
      </c>
      <c r="G69" s="2" t="s">
        <v>46</v>
      </c>
      <c r="H69" s="2" t="s">
        <v>44</v>
      </c>
      <c r="I69" s="2">
        <v>2208.2441100000001</v>
      </c>
      <c r="J69" s="2">
        <v>2114.9006800000002</v>
      </c>
      <c r="K69" s="2">
        <v>1793.5539100000001</v>
      </c>
      <c r="L69" s="2">
        <v>1780.2883300000001</v>
      </c>
    </row>
    <row r="70" spans="5:12" hidden="1" x14ac:dyDescent="0.25">
      <c r="E70" s="2" t="s">
        <v>112</v>
      </c>
      <c r="F70" s="2" t="s">
        <v>16</v>
      </c>
      <c r="G70" s="2" t="s">
        <v>48</v>
      </c>
      <c r="H70" s="2" t="s">
        <v>44</v>
      </c>
      <c r="I70" s="2">
        <v>2215.20343</v>
      </c>
      <c r="J70" s="2">
        <v>2108.4756699999998</v>
      </c>
      <c r="K70" s="2">
        <v>1787.12924</v>
      </c>
      <c r="L70" s="2">
        <v>1773.8632299999999</v>
      </c>
    </row>
    <row r="71" spans="5:12" hidden="1" x14ac:dyDescent="0.25">
      <c r="E71" s="2" t="s">
        <v>113</v>
      </c>
      <c r="F71" s="2" t="s">
        <v>16</v>
      </c>
      <c r="G71" s="2" t="s">
        <v>50</v>
      </c>
      <c r="H71" s="2" t="s">
        <v>51</v>
      </c>
      <c r="I71" s="2">
        <v>1541.9164900000001</v>
      </c>
      <c r="J71" s="2">
        <v>1542.16416</v>
      </c>
      <c r="K71" s="2">
        <v>1542.08159</v>
      </c>
      <c r="L71" s="2">
        <v>1542.1848</v>
      </c>
    </row>
    <row r="72" spans="5:12" hidden="1" x14ac:dyDescent="0.25">
      <c r="E72" s="2" t="s">
        <v>114</v>
      </c>
      <c r="F72" s="2" t="s">
        <v>16</v>
      </c>
      <c r="G72" s="2" t="s">
        <v>53</v>
      </c>
      <c r="H72" s="2" t="s">
        <v>51</v>
      </c>
      <c r="I72" s="2">
        <v>0</v>
      </c>
      <c r="J72" s="2">
        <v>0</v>
      </c>
      <c r="K72" s="2">
        <v>0</v>
      </c>
      <c r="L72" s="2">
        <v>0</v>
      </c>
    </row>
    <row r="73" spans="5:12" x14ac:dyDescent="0.25">
      <c r="E73" s="2" t="s">
        <v>115</v>
      </c>
      <c r="F73" s="2" t="s">
        <v>16</v>
      </c>
      <c r="G73" s="2" t="s">
        <v>55</v>
      </c>
      <c r="H73" s="2" t="s">
        <v>44</v>
      </c>
      <c r="I73" s="2">
        <v>0</v>
      </c>
      <c r="J73" s="2">
        <v>0</v>
      </c>
      <c r="K73" s="2">
        <v>0</v>
      </c>
      <c r="L73" s="2">
        <v>0</v>
      </c>
    </row>
    <row r="74" spans="5:12" hidden="1" x14ac:dyDescent="0.25">
      <c r="E74" s="2" t="s">
        <v>40</v>
      </c>
      <c r="F74" s="2"/>
      <c r="G74" s="2">
        <v>0</v>
      </c>
      <c r="H74" s="2">
        <v>0</v>
      </c>
      <c r="I74" s="2" t="s">
        <v>116</v>
      </c>
      <c r="J74" s="2" t="s">
        <v>116</v>
      </c>
      <c r="K74" s="2" t="s">
        <v>116</v>
      </c>
      <c r="L74" s="2" t="s">
        <v>116</v>
      </c>
    </row>
    <row r="75" spans="5:12" hidden="1" x14ac:dyDescent="0.25">
      <c r="E75" s="2" t="s">
        <v>117</v>
      </c>
      <c r="F75" s="2" t="s">
        <v>17</v>
      </c>
      <c r="G75" s="2">
        <v>0</v>
      </c>
      <c r="H75" s="2">
        <v>0</v>
      </c>
      <c r="I75" s="2">
        <v>1</v>
      </c>
      <c r="J75" s="2">
        <v>1</v>
      </c>
      <c r="K75" s="2">
        <v>1</v>
      </c>
      <c r="L75" s="2">
        <v>1</v>
      </c>
    </row>
    <row r="76" spans="5:12" hidden="1" x14ac:dyDescent="0.25">
      <c r="E76" s="2" t="s">
        <v>118</v>
      </c>
      <c r="F76" s="2" t="s">
        <v>17</v>
      </c>
      <c r="G76" s="2" t="s">
        <v>43</v>
      </c>
      <c r="H76" s="2" t="s">
        <v>44</v>
      </c>
      <c r="I76" s="2">
        <v>1654</v>
      </c>
      <c r="J76" s="2">
        <v>1587</v>
      </c>
      <c r="K76" s="2">
        <v>1476</v>
      </c>
      <c r="L76" s="2">
        <v>1453</v>
      </c>
    </row>
    <row r="77" spans="5:12" hidden="1" x14ac:dyDescent="0.25">
      <c r="E77" s="2" t="s">
        <v>119</v>
      </c>
      <c r="F77" s="2" t="s">
        <v>17</v>
      </c>
      <c r="G77" s="2" t="s">
        <v>46</v>
      </c>
      <c r="H77" s="2" t="s">
        <v>44</v>
      </c>
      <c r="I77" s="2">
        <v>1775</v>
      </c>
      <c r="J77" s="2">
        <v>1688</v>
      </c>
      <c r="K77" s="2">
        <v>1428</v>
      </c>
      <c r="L77" s="2">
        <v>1391</v>
      </c>
    </row>
    <row r="78" spans="5:12" hidden="1" x14ac:dyDescent="0.25">
      <c r="E78" s="2" t="s">
        <v>120</v>
      </c>
      <c r="F78" s="2" t="s">
        <v>17</v>
      </c>
      <c r="G78" s="2" t="s">
        <v>48</v>
      </c>
      <c r="H78" s="2" t="s">
        <v>44</v>
      </c>
      <c r="I78" s="2">
        <v>1308</v>
      </c>
      <c r="J78" s="2">
        <v>1251</v>
      </c>
      <c r="K78" s="2">
        <v>1048</v>
      </c>
      <c r="L78" s="2">
        <v>1031</v>
      </c>
    </row>
    <row r="79" spans="5:12" hidden="1" x14ac:dyDescent="0.25">
      <c r="E79" s="2" t="s">
        <v>121</v>
      </c>
      <c r="F79" s="2" t="s">
        <v>17</v>
      </c>
      <c r="G79" s="2" t="s">
        <v>50</v>
      </c>
      <c r="H79" s="2" t="s">
        <v>51</v>
      </c>
      <c r="I79" s="2">
        <v>0</v>
      </c>
      <c r="J79" s="2">
        <v>0</v>
      </c>
      <c r="K79" s="2">
        <v>0</v>
      </c>
      <c r="L79" s="2">
        <v>0</v>
      </c>
    </row>
    <row r="80" spans="5:12" hidden="1" x14ac:dyDescent="0.25">
      <c r="E80" s="2" t="s">
        <v>122</v>
      </c>
      <c r="F80" s="2" t="s">
        <v>17</v>
      </c>
      <c r="G80" s="2" t="s">
        <v>53</v>
      </c>
      <c r="H80" s="2" t="s">
        <v>51</v>
      </c>
      <c r="I80" s="2">
        <v>0</v>
      </c>
      <c r="J80" s="2">
        <v>0</v>
      </c>
      <c r="K80" s="2">
        <v>0</v>
      </c>
      <c r="L80" s="2">
        <v>0</v>
      </c>
    </row>
    <row r="81" spans="5:12" x14ac:dyDescent="0.25">
      <c r="E81" s="2" t="s">
        <v>123</v>
      </c>
      <c r="F81" s="2" t="s">
        <v>17</v>
      </c>
      <c r="G81" s="2" t="s">
        <v>55</v>
      </c>
      <c r="H81" s="2" t="s">
        <v>44</v>
      </c>
      <c r="I81" s="2">
        <v>903</v>
      </c>
      <c r="J81" s="2">
        <v>905</v>
      </c>
      <c r="K81" s="2">
        <v>896</v>
      </c>
      <c r="L81" s="2">
        <v>896</v>
      </c>
    </row>
    <row r="82" spans="5:12" hidden="1" x14ac:dyDescent="0.25">
      <c r="E82" s="2" t="s">
        <v>40</v>
      </c>
      <c r="F82" s="2"/>
      <c r="G82" s="2">
        <v>0</v>
      </c>
      <c r="H82" s="2">
        <v>0</v>
      </c>
      <c r="I82" s="2" t="s">
        <v>124</v>
      </c>
      <c r="J82" s="2" t="s">
        <v>124</v>
      </c>
      <c r="K82" s="2" t="s">
        <v>124</v>
      </c>
      <c r="L82" s="2" t="s">
        <v>124</v>
      </c>
    </row>
    <row r="83" spans="5:12" hidden="1" x14ac:dyDescent="0.25">
      <c r="E83" s="2" t="s">
        <v>125</v>
      </c>
      <c r="F83" s="2" t="s">
        <v>35</v>
      </c>
      <c r="G83" s="2" t="s">
        <v>43</v>
      </c>
      <c r="H83" s="2" t="s">
        <v>44</v>
      </c>
      <c r="I83" s="2">
        <v>1708.7426499999999</v>
      </c>
      <c r="J83" s="2">
        <v>1600.83277</v>
      </c>
      <c r="K83" s="2">
        <v>1486.5540699999999</v>
      </c>
      <c r="L83" s="2">
        <v>1471.2139299999999</v>
      </c>
    </row>
    <row r="84" spans="5:12" hidden="1" x14ac:dyDescent="0.25">
      <c r="E84" s="2" t="s">
        <v>126</v>
      </c>
      <c r="F84" s="2" t="s">
        <v>35</v>
      </c>
      <c r="G84" s="2" t="s">
        <v>46</v>
      </c>
      <c r="H84" s="2" t="s">
        <v>44</v>
      </c>
      <c r="I84" s="2">
        <v>1836.78701</v>
      </c>
      <c r="J84" s="2">
        <v>1645.4662699999999</v>
      </c>
      <c r="K84" s="2">
        <v>1441.1186600000001</v>
      </c>
      <c r="L84" s="2">
        <v>1423.17236</v>
      </c>
    </row>
    <row r="85" spans="5:12" hidden="1" x14ac:dyDescent="0.25">
      <c r="E85" s="2" t="s">
        <v>127</v>
      </c>
      <c r="F85" s="2" t="s">
        <v>35</v>
      </c>
      <c r="G85" s="2" t="s">
        <v>48</v>
      </c>
      <c r="H85" s="2" t="s">
        <v>44</v>
      </c>
      <c r="I85" s="2">
        <v>1372.8869999999999</v>
      </c>
      <c r="J85" s="2">
        <v>1229.5160000000001</v>
      </c>
      <c r="K85" s="2">
        <v>948.09900000000005</v>
      </c>
      <c r="L85" s="2">
        <v>911.55899999999997</v>
      </c>
    </row>
    <row r="86" spans="5:12" hidden="1" x14ac:dyDescent="0.25">
      <c r="E86" s="2" t="s">
        <v>128</v>
      </c>
      <c r="F86" s="2" t="s">
        <v>35</v>
      </c>
      <c r="G86" s="2" t="s">
        <v>50</v>
      </c>
      <c r="H86" s="2" t="s">
        <v>51</v>
      </c>
      <c r="I86" s="2">
        <v>693.79</v>
      </c>
      <c r="J86" s="2">
        <v>600.36699999999996</v>
      </c>
      <c r="K86" s="2">
        <v>556.20000000000005</v>
      </c>
      <c r="L86" s="2">
        <v>527.673</v>
      </c>
    </row>
    <row r="87" spans="5:12" hidden="1" x14ac:dyDescent="0.25">
      <c r="E87" s="2" t="s">
        <v>129</v>
      </c>
      <c r="F87" s="2" t="s">
        <v>35</v>
      </c>
      <c r="G87" s="2" t="s">
        <v>53</v>
      </c>
      <c r="H87" s="2" t="s">
        <v>51</v>
      </c>
      <c r="I87" s="2">
        <v>0</v>
      </c>
      <c r="J87" s="2">
        <v>0</v>
      </c>
      <c r="K87" s="2">
        <v>0</v>
      </c>
      <c r="L87" s="2">
        <v>0</v>
      </c>
    </row>
    <row r="88" spans="5:12" x14ac:dyDescent="0.25">
      <c r="E88" s="2" t="s">
        <v>130</v>
      </c>
      <c r="F88" s="2" t="s">
        <v>35</v>
      </c>
      <c r="G88" s="2" t="s">
        <v>55</v>
      </c>
      <c r="H88" s="2" t="s">
        <v>44</v>
      </c>
      <c r="I88" s="2">
        <v>961.90996800000005</v>
      </c>
      <c r="J88" s="2">
        <v>945.64900499999999</v>
      </c>
      <c r="K88" s="2">
        <v>936.11299899999995</v>
      </c>
      <c r="L88" s="2">
        <v>935.77796799999999</v>
      </c>
    </row>
    <row r="89" spans="5:12" hidden="1" x14ac:dyDescent="0.25">
      <c r="E89" s="2" t="s">
        <v>40</v>
      </c>
      <c r="F89" s="2"/>
      <c r="G89" s="2">
        <v>0</v>
      </c>
      <c r="H89" s="2">
        <v>0</v>
      </c>
      <c r="I89" s="2" t="s">
        <v>131</v>
      </c>
      <c r="J89" s="2" t="s">
        <v>131</v>
      </c>
      <c r="K89" s="2" t="s">
        <v>131</v>
      </c>
      <c r="L89" s="2" t="s">
        <v>131</v>
      </c>
    </row>
    <row r="90" spans="5:12" hidden="1" x14ac:dyDescent="0.25">
      <c r="E90" s="2" t="s">
        <v>132</v>
      </c>
      <c r="F90" s="2" t="s">
        <v>18</v>
      </c>
      <c r="G90" s="2" t="s">
        <v>43</v>
      </c>
      <c r="H90" s="2" t="s">
        <v>44</v>
      </c>
      <c r="I90" s="2">
        <v>1958.7916700000001</v>
      </c>
      <c r="J90" s="2">
        <v>1926</v>
      </c>
      <c r="K90" s="2">
        <v>1929.85</v>
      </c>
      <c r="L90" s="2">
        <v>1712.5454500000001</v>
      </c>
    </row>
    <row r="91" spans="5:12" hidden="1" x14ac:dyDescent="0.25">
      <c r="E91" s="2" t="s">
        <v>133</v>
      </c>
      <c r="F91" s="2" t="s">
        <v>18</v>
      </c>
      <c r="G91" s="2" t="s">
        <v>46</v>
      </c>
      <c r="H91" s="2" t="s">
        <v>44</v>
      </c>
      <c r="I91" s="2">
        <v>2108.25</v>
      </c>
      <c r="J91" s="2">
        <v>2042</v>
      </c>
      <c r="K91" s="2">
        <v>1950.9</v>
      </c>
      <c r="L91" s="2">
        <v>1737.9090900000001</v>
      </c>
    </row>
    <row r="92" spans="5:12" hidden="1" x14ac:dyDescent="0.25">
      <c r="E92" s="2" t="s">
        <v>134</v>
      </c>
      <c r="F92" s="2" t="s">
        <v>18</v>
      </c>
      <c r="G92" s="2" t="s">
        <v>48</v>
      </c>
      <c r="H92" s="2" t="s">
        <v>44</v>
      </c>
      <c r="I92" s="2">
        <v>1954</v>
      </c>
      <c r="J92" s="2">
        <v>1781</v>
      </c>
      <c r="K92" s="2">
        <v>1299.4563900000001</v>
      </c>
      <c r="L92" s="2">
        <v>1328.7480599999999</v>
      </c>
    </row>
    <row r="93" spans="5:12" hidden="1" x14ac:dyDescent="0.25">
      <c r="E93" s="2" t="s">
        <v>135</v>
      </c>
      <c r="F93" s="2" t="s">
        <v>18</v>
      </c>
      <c r="G93" s="2" t="s">
        <v>50</v>
      </c>
      <c r="H93" s="2" t="s">
        <v>51</v>
      </c>
      <c r="I93" s="2">
        <v>0</v>
      </c>
      <c r="J93" s="2">
        <v>0</v>
      </c>
      <c r="K93" s="2">
        <v>0</v>
      </c>
      <c r="L93" s="2">
        <v>0</v>
      </c>
    </row>
    <row r="94" spans="5:12" hidden="1" x14ac:dyDescent="0.25">
      <c r="E94" s="2" t="s">
        <v>136</v>
      </c>
      <c r="F94" s="2" t="s">
        <v>18</v>
      </c>
      <c r="G94" s="2" t="s">
        <v>53</v>
      </c>
      <c r="H94" s="2" t="s">
        <v>51</v>
      </c>
      <c r="I94" s="2">
        <v>0</v>
      </c>
      <c r="J94" s="2">
        <v>0</v>
      </c>
      <c r="K94" s="2">
        <v>0</v>
      </c>
      <c r="L94" s="2">
        <v>0</v>
      </c>
    </row>
    <row r="95" spans="5:12" x14ac:dyDescent="0.25">
      <c r="E95" s="2" t="s">
        <v>137</v>
      </c>
      <c r="F95" s="2" t="s">
        <v>18</v>
      </c>
      <c r="G95" s="2" t="s">
        <v>55</v>
      </c>
      <c r="H95" s="2" t="s">
        <v>44</v>
      </c>
      <c r="I95" s="2">
        <v>0</v>
      </c>
      <c r="J95" s="2">
        <v>0</v>
      </c>
      <c r="K95" s="2">
        <v>0</v>
      </c>
      <c r="L95" s="2">
        <v>0</v>
      </c>
    </row>
    <row r="96" spans="5:12" hidden="1" x14ac:dyDescent="0.25">
      <c r="E96" s="2" t="s">
        <v>40</v>
      </c>
      <c r="F96" s="2"/>
      <c r="G96" s="2">
        <v>0</v>
      </c>
      <c r="H96" s="2">
        <v>0</v>
      </c>
      <c r="I96" s="2" t="s">
        <v>138</v>
      </c>
      <c r="J96" s="2" t="s">
        <v>138</v>
      </c>
      <c r="K96" s="2" t="s">
        <v>138</v>
      </c>
      <c r="L96" s="2" t="s">
        <v>138</v>
      </c>
    </row>
    <row r="97" spans="5:12" hidden="1" x14ac:dyDescent="0.25">
      <c r="E97" s="2" t="s">
        <v>139</v>
      </c>
      <c r="F97" s="2" t="s">
        <v>19</v>
      </c>
      <c r="G97" s="2" t="s">
        <v>43</v>
      </c>
      <c r="H97" s="2" t="s">
        <v>44</v>
      </c>
      <c r="I97" s="2">
        <v>1897.93</v>
      </c>
      <c r="J97" s="2">
        <v>1842.94</v>
      </c>
      <c r="K97" s="2">
        <v>1758.45</v>
      </c>
      <c r="L97" s="2">
        <v>1710.27</v>
      </c>
    </row>
    <row r="98" spans="5:12" hidden="1" x14ac:dyDescent="0.25">
      <c r="E98" s="2" t="s">
        <v>140</v>
      </c>
      <c r="F98" s="2" t="s">
        <v>19</v>
      </c>
      <c r="G98" s="2" t="s">
        <v>46</v>
      </c>
      <c r="H98" s="2" t="s">
        <v>44</v>
      </c>
      <c r="I98" s="2">
        <v>2017.37</v>
      </c>
      <c r="J98" s="2">
        <v>1952.47</v>
      </c>
      <c r="K98" s="2">
        <v>1700.94</v>
      </c>
      <c r="L98" s="2">
        <v>1649.72</v>
      </c>
    </row>
    <row r="99" spans="5:12" hidden="1" x14ac:dyDescent="0.25">
      <c r="E99" s="2" t="s">
        <v>141</v>
      </c>
      <c r="F99" s="2" t="s">
        <v>19</v>
      </c>
      <c r="G99" s="2" t="s">
        <v>48</v>
      </c>
      <c r="H99" s="2" t="s">
        <v>44</v>
      </c>
      <c r="I99" s="2">
        <v>1660.62</v>
      </c>
      <c r="J99" s="2">
        <v>1549.29</v>
      </c>
      <c r="K99" s="2">
        <v>1225</v>
      </c>
      <c r="L99" s="2">
        <v>1203.52</v>
      </c>
    </row>
    <row r="100" spans="5:12" hidden="1" x14ac:dyDescent="0.25">
      <c r="E100" s="2" t="s">
        <v>142</v>
      </c>
      <c r="F100" s="2" t="s">
        <v>19</v>
      </c>
      <c r="G100" s="2" t="s">
        <v>50</v>
      </c>
      <c r="H100" s="2" t="s">
        <v>51</v>
      </c>
      <c r="I100" s="2">
        <v>0</v>
      </c>
      <c r="J100" s="2">
        <v>0</v>
      </c>
      <c r="K100" s="2">
        <v>0</v>
      </c>
      <c r="L100" s="2">
        <v>0</v>
      </c>
    </row>
    <row r="101" spans="5:12" hidden="1" x14ac:dyDescent="0.25">
      <c r="E101" s="2" t="s">
        <v>143</v>
      </c>
      <c r="F101" s="2" t="s">
        <v>19</v>
      </c>
      <c r="G101" s="2" t="s">
        <v>53</v>
      </c>
      <c r="H101" s="2" t="s">
        <v>51</v>
      </c>
      <c r="I101" s="2">
        <v>0</v>
      </c>
      <c r="J101" s="2">
        <v>0</v>
      </c>
      <c r="K101" s="2">
        <v>0</v>
      </c>
      <c r="L101" s="2">
        <v>0</v>
      </c>
    </row>
    <row r="102" spans="5:12" x14ac:dyDescent="0.25">
      <c r="E102" s="2" t="s">
        <v>144</v>
      </c>
      <c r="F102" s="2" t="s">
        <v>19</v>
      </c>
      <c r="G102" s="2" t="s">
        <v>55</v>
      </c>
      <c r="H102" s="2" t="s">
        <v>44</v>
      </c>
      <c r="I102" s="2">
        <v>955.88</v>
      </c>
      <c r="J102" s="2">
        <v>952.7</v>
      </c>
      <c r="K102" s="2">
        <v>948.7</v>
      </c>
      <c r="L102" s="2">
        <v>944.82</v>
      </c>
    </row>
    <row r="103" spans="5:12" hidden="1" x14ac:dyDescent="0.25">
      <c r="E103" s="2" t="s">
        <v>40</v>
      </c>
      <c r="F103" s="2"/>
      <c r="G103" s="2">
        <v>0</v>
      </c>
      <c r="H103" s="2">
        <v>0</v>
      </c>
      <c r="I103" s="2" t="s">
        <v>145</v>
      </c>
      <c r="J103" s="2" t="s">
        <v>145</v>
      </c>
      <c r="K103" s="2" t="s">
        <v>145</v>
      </c>
      <c r="L103" s="2" t="s">
        <v>145</v>
      </c>
    </row>
    <row r="104" spans="5:12" hidden="1" x14ac:dyDescent="0.25">
      <c r="E104" s="2" t="s">
        <v>146</v>
      </c>
      <c r="F104" s="2" t="s">
        <v>21</v>
      </c>
      <c r="G104" s="2" t="s">
        <v>43</v>
      </c>
      <c r="H104" s="2" t="s">
        <v>44</v>
      </c>
      <c r="I104" s="2">
        <v>1924</v>
      </c>
      <c r="J104" s="2">
        <v>1852</v>
      </c>
      <c r="K104" s="2">
        <v>1757</v>
      </c>
      <c r="L104" s="2">
        <v>1738</v>
      </c>
    </row>
    <row r="105" spans="5:12" hidden="1" x14ac:dyDescent="0.25">
      <c r="E105" s="2" t="s">
        <v>147</v>
      </c>
      <c r="F105" s="2" t="s">
        <v>21</v>
      </c>
      <c r="G105" s="2" t="s">
        <v>46</v>
      </c>
      <c r="H105" s="2" t="s">
        <v>44</v>
      </c>
      <c r="I105" s="2">
        <v>1902</v>
      </c>
      <c r="J105" s="2">
        <v>1814</v>
      </c>
      <c r="K105" s="2">
        <v>1574</v>
      </c>
      <c r="L105" s="2">
        <v>1548</v>
      </c>
    </row>
    <row r="106" spans="5:12" hidden="1" x14ac:dyDescent="0.25">
      <c r="E106" s="2" t="s">
        <v>148</v>
      </c>
      <c r="F106" s="2" t="s">
        <v>21</v>
      </c>
      <c r="G106" s="2" t="s">
        <v>48</v>
      </c>
      <c r="H106" s="2" t="s">
        <v>44</v>
      </c>
      <c r="I106" s="2">
        <v>1470</v>
      </c>
      <c r="J106" s="2">
        <v>1396</v>
      </c>
      <c r="K106" s="2">
        <v>1189</v>
      </c>
      <c r="L106" s="2">
        <v>1159</v>
      </c>
    </row>
    <row r="107" spans="5:12" hidden="1" x14ac:dyDescent="0.25">
      <c r="E107" s="2" t="s">
        <v>149</v>
      </c>
      <c r="F107" s="2" t="s">
        <v>21</v>
      </c>
      <c r="G107" s="2" t="s">
        <v>50</v>
      </c>
      <c r="H107" s="2" t="s">
        <v>51</v>
      </c>
      <c r="I107" s="2">
        <v>667.8</v>
      </c>
      <c r="J107" s="2">
        <v>667.8</v>
      </c>
      <c r="K107" s="2">
        <v>667.8</v>
      </c>
      <c r="L107" s="2">
        <v>667.8</v>
      </c>
    </row>
    <row r="108" spans="5:12" hidden="1" x14ac:dyDescent="0.25">
      <c r="E108" s="2" t="s">
        <v>150</v>
      </c>
      <c r="F108" s="2" t="s">
        <v>21</v>
      </c>
      <c r="G108" s="2" t="s">
        <v>53</v>
      </c>
      <c r="H108" s="2" t="s">
        <v>51</v>
      </c>
      <c r="I108" s="2">
        <v>0</v>
      </c>
      <c r="J108" s="2">
        <v>0</v>
      </c>
      <c r="K108" s="2">
        <v>0</v>
      </c>
      <c r="L108" s="2">
        <v>0</v>
      </c>
    </row>
    <row r="109" spans="5:12" x14ac:dyDescent="0.25">
      <c r="E109" s="2" t="s">
        <v>151</v>
      </c>
      <c r="F109" s="2" t="s">
        <v>21</v>
      </c>
      <c r="G109" s="2" t="s">
        <v>55</v>
      </c>
      <c r="H109" s="2" t="s">
        <v>44</v>
      </c>
      <c r="I109" s="2">
        <v>0</v>
      </c>
      <c r="J109" s="2">
        <v>0</v>
      </c>
      <c r="K109" s="2">
        <v>0</v>
      </c>
      <c r="L109" s="2">
        <v>0</v>
      </c>
    </row>
    <row r="110" spans="5:12" hidden="1" x14ac:dyDescent="0.25">
      <c r="E110" s="2" t="s">
        <v>40</v>
      </c>
      <c r="F110" s="2"/>
      <c r="G110" s="2">
        <v>0</v>
      </c>
      <c r="H110" s="2">
        <v>0</v>
      </c>
      <c r="I110" s="2" t="s">
        <v>152</v>
      </c>
      <c r="J110" s="2" t="s">
        <v>152</v>
      </c>
      <c r="K110" s="2" t="s">
        <v>152</v>
      </c>
      <c r="L110" s="2" t="s">
        <v>152</v>
      </c>
    </row>
    <row r="111" spans="5:12" hidden="1" x14ac:dyDescent="0.25">
      <c r="E111" s="2" t="s">
        <v>153</v>
      </c>
      <c r="F111" s="2" t="s">
        <v>13</v>
      </c>
      <c r="G111" s="2">
        <v>0</v>
      </c>
      <c r="H111" s="2">
        <v>0</v>
      </c>
      <c r="I111" s="2">
        <v>1</v>
      </c>
      <c r="J111" s="2">
        <v>1</v>
      </c>
      <c r="K111" s="2">
        <v>1</v>
      </c>
      <c r="L111" s="2">
        <v>1</v>
      </c>
    </row>
    <row r="112" spans="5:12" hidden="1" x14ac:dyDescent="0.25">
      <c r="E112" s="2" t="s">
        <v>154</v>
      </c>
      <c r="F112" s="2" t="s">
        <v>13</v>
      </c>
      <c r="G112" s="2" t="s">
        <v>43</v>
      </c>
      <c r="H112" s="2" t="s">
        <v>44</v>
      </c>
      <c r="I112" s="2">
        <v>1550</v>
      </c>
      <c r="J112" s="2">
        <v>1499</v>
      </c>
      <c r="K112" s="2">
        <v>1479</v>
      </c>
      <c r="L112" s="2">
        <v>1471</v>
      </c>
    </row>
    <row r="113" spans="5:12" hidden="1" x14ac:dyDescent="0.25">
      <c r="E113" s="2" t="s">
        <v>155</v>
      </c>
      <c r="F113" s="2" t="s">
        <v>13</v>
      </c>
      <c r="G113" s="2" t="s">
        <v>46</v>
      </c>
      <c r="H113" s="2" t="s">
        <v>44</v>
      </c>
      <c r="I113" s="2">
        <v>1672</v>
      </c>
      <c r="J113" s="2">
        <v>1544</v>
      </c>
      <c r="K113" s="2">
        <v>1514</v>
      </c>
      <c r="L113" s="2">
        <v>1494</v>
      </c>
    </row>
    <row r="114" spans="5:12" hidden="1" x14ac:dyDescent="0.25">
      <c r="E114" s="2" t="s">
        <v>156</v>
      </c>
      <c r="F114" s="2" t="s">
        <v>13</v>
      </c>
      <c r="G114" s="2" t="s">
        <v>48</v>
      </c>
      <c r="H114" s="2" t="s">
        <v>44</v>
      </c>
      <c r="I114" s="2">
        <v>1155</v>
      </c>
      <c r="J114" s="2">
        <v>930</v>
      </c>
      <c r="K114" s="2">
        <v>895</v>
      </c>
      <c r="L114" s="2">
        <v>890</v>
      </c>
    </row>
    <row r="115" spans="5:12" hidden="1" x14ac:dyDescent="0.25">
      <c r="E115" s="2" t="s">
        <v>157</v>
      </c>
      <c r="F115" s="2" t="s">
        <v>13</v>
      </c>
      <c r="G115" s="2" t="s">
        <v>50</v>
      </c>
      <c r="H115" s="2" t="s">
        <v>51</v>
      </c>
      <c r="I115" s="2">
        <v>842.1</v>
      </c>
      <c r="J115" s="2">
        <v>717.1</v>
      </c>
      <c r="K115" s="2">
        <v>529.6</v>
      </c>
      <c r="L115" s="2">
        <v>517.1</v>
      </c>
    </row>
    <row r="116" spans="5:12" hidden="1" x14ac:dyDescent="0.25">
      <c r="E116" s="2" t="s">
        <v>158</v>
      </c>
      <c r="F116" s="2" t="s">
        <v>13</v>
      </c>
      <c r="G116" s="2" t="s">
        <v>53</v>
      </c>
      <c r="H116" s="2" t="s">
        <v>51</v>
      </c>
      <c r="I116" s="2">
        <v>0</v>
      </c>
      <c r="J116" s="2">
        <v>0</v>
      </c>
      <c r="K116" s="2">
        <v>0</v>
      </c>
      <c r="L116" s="2">
        <v>0</v>
      </c>
    </row>
    <row r="117" spans="5:12" x14ac:dyDescent="0.25">
      <c r="E117" s="2" t="s">
        <v>159</v>
      </c>
      <c r="F117" s="2" t="s">
        <v>13</v>
      </c>
      <c r="G117" s="2" t="s">
        <v>55</v>
      </c>
      <c r="H117" s="2" t="s">
        <v>44</v>
      </c>
      <c r="I117" s="2">
        <v>1000</v>
      </c>
      <c r="J117" s="2">
        <v>922</v>
      </c>
      <c r="K117" s="2">
        <v>902</v>
      </c>
      <c r="L117" s="2">
        <v>912</v>
      </c>
    </row>
    <row r="118" spans="5:12" hidden="1" x14ac:dyDescent="0.25">
      <c r="E118" s="2" t="s">
        <v>40</v>
      </c>
      <c r="F118" s="2"/>
      <c r="G118" s="2">
        <v>0</v>
      </c>
      <c r="H118" s="2">
        <v>0</v>
      </c>
      <c r="I118" s="2" t="s">
        <v>160</v>
      </c>
      <c r="J118" s="2" t="s">
        <v>160</v>
      </c>
      <c r="K118" s="2" t="s">
        <v>160</v>
      </c>
      <c r="L118" s="2" t="s">
        <v>160</v>
      </c>
    </row>
    <row r="119" spans="5:12" hidden="1" x14ac:dyDescent="0.25">
      <c r="E119" s="2" t="s">
        <v>161</v>
      </c>
      <c r="F119" s="2" t="s">
        <v>22</v>
      </c>
      <c r="G119" s="2">
        <v>0</v>
      </c>
      <c r="H119" s="2">
        <v>0</v>
      </c>
      <c r="I119" s="2">
        <v>2.56259E-3</v>
      </c>
      <c r="J119" s="2">
        <v>2.5228300000000002E-3</v>
      </c>
      <c r="K119" s="2">
        <v>2.6198599999999999E-3</v>
      </c>
      <c r="L119" s="2">
        <v>2.63401E-3</v>
      </c>
    </row>
    <row r="120" spans="5:12" hidden="1" x14ac:dyDescent="0.25">
      <c r="E120" s="2" t="s">
        <v>162</v>
      </c>
      <c r="F120" s="2" t="s">
        <v>22</v>
      </c>
      <c r="G120" s="2" t="s">
        <v>43</v>
      </c>
      <c r="H120" s="2" t="s">
        <v>44</v>
      </c>
      <c r="I120" s="2">
        <v>1537.3960400000001</v>
      </c>
      <c r="J120" s="2">
        <v>1498.722</v>
      </c>
      <c r="K120" s="2">
        <v>1462.9233400000001</v>
      </c>
      <c r="L120" s="2">
        <v>1461.6535699999999</v>
      </c>
    </row>
    <row r="121" spans="5:12" hidden="1" x14ac:dyDescent="0.25">
      <c r="E121" s="2" t="s">
        <v>163</v>
      </c>
      <c r="F121" s="2" t="s">
        <v>22</v>
      </c>
      <c r="G121" s="2" t="s">
        <v>46</v>
      </c>
      <c r="H121" s="2" t="s">
        <v>44</v>
      </c>
      <c r="I121" s="2">
        <v>1637.8815999999999</v>
      </c>
      <c r="J121" s="2">
        <v>1592.03621</v>
      </c>
      <c r="K121" s="2">
        <v>1529.55999</v>
      </c>
      <c r="L121" s="2">
        <v>1520.7161100000001</v>
      </c>
    </row>
    <row r="122" spans="5:12" hidden="1" x14ac:dyDescent="0.25">
      <c r="E122" s="2" t="s">
        <v>164</v>
      </c>
      <c r="F122" s="2" t="s">
        <v>22</v>
      </c>
      <c r="G122" s="2" t="s">
        <v>48</v>
      </c>
      <c r="H122" s="2" t="s">
        <v>44</v>
      </c>
      <c r="I122" s="2">
        <v>1637.8815999999999</v>
      </c>
      <c r="J122" s="2">
        <v>1592.03621</v>
      </c>
      <c r="K122" s="2">
        <v>1529.55999</v>
      </c>
      <c r="L122" s="2">
        <v>1520.7161100000001</v>
      </c>
    </row>
    <row r="123" spans="5:12" hidden="1" x14ac:dyDescent="0.25">
      <c r="E123" s="2" t="s">
        <v>165</v>
      </c>
      <c r="F123" s="2" t="s">
        <v>22</v>
      </c>
      <c r="G123" s="2" t="s">
        <v>50</v>
      </c>
      <c r="H123" s="2" t="s">
        <v>51</v>
      </c>
      <c r="I123" s="2">
        <v>1111.3445899999999</v>
      </c>
      <c r="J123" s="2">
        <v>955.72682799999995</v>
      </c>
      <c r="K123" s="2">
        <v>992.14042400000005</v>
      </c>
      <c r="L123" s="2">
        <v>1014.09193</v>
      </c>
    </row>
    <row r="124" spans="5:12" hidden="1" x14ac:dyDescent="0.25">
      <c r="E124" s="2" t="s">
        <v>166</v>
      </c>
      <c r="F124" s="2" t="s">
        <v>22</v>
      </c>
      <c r="G124" s="2" t="s">
        <v>53</v>
      </c>
      <c r="H124" s="2" t="s">
        <v>51</v>
      </c>
      <c r="I124" s="2">
        <v>0</v>
      </c>
      <c r="J124" s="2">
        <v>0</v>
      </c>
      <c r="K124" s="2">
        <v>0</v>
      </c>
      <c r="L124" s="2">
        <v>0</v>
      </c>
    </row>
    <row r="125" spans="5:12" x14ac:dyDescent="0.25">
      <c r="E125" s="2" t="s">
        <v>167</v>
      </c>
      <c r="F125" s="2" t="s">
        <v>22</v>
      </c>
      <c r="G125" s="2" t="s">
        <v>55</v>
      </c>
      <c r="H125" s="2" t="s">
        <v>44</v>
      </c>
      <c r="I125" s="2">
        <v>846.94450600000005</v>
      </c>
      <c r="J125" s="2">
        <v>802.991083</v>
      </c>
      <c r="K125" s="2">
        <v>833.40396799999996</v>
      </c>
      <c r="L125" s="2">
        <v>838.12317900000005</v>
      </c>
    </row>
    <row r="126" spans="5:12" hidden="1" x14ac:dyDescent="0.25">
      <c r="E126" s="2" t="s">
        <v>40</v>
      </c>
      <c r="F126" s="2"/>
      <c r="G126" s="2">
        <v>0</v>
      </c>
      <c r="H126" s="2">
        <v>0</v>
      </c>
      <c r="I126" s="2" t="s">
        <v>168</v>
      </c>
      <c r="J126" s="2" t="s">
        <v>168</v>
      </c>
      <c r="K126" s="2" t="s">
        <v>168</v>
      </c>
      <c r="L126" s="2" t="s">
        <v>168</v>
      </c>
    </row>
    <row r="127" spans="5:12" hidden="1" x14ac:dyDescent="0.25">
      <c r="E127" s="2" t="s">
        <v>169</v>
      </c>
      <c r="F127" s="2" t="s">
        <v>23</v>
      </c>
      <c r="G127" s="2" t="s">
        <v>43</v>
      </c>
      <c r="H127" s="2" t="s">
        <v>44</v>
      </c>
      <c r="I127" s="2">
        <v>1834.5</v>
      </c>
      <c r="J127" s="2">
        <v>1747.3</v>
      </c>
      <c r="K127" s="2">
        <v>1739.6</v>
      </c>
      <c r="L127" s="2">
        <v>1738.6</v>
      </c>
    </row>
    <row r="128" spans="5:12" hidden="1" x14ac:dyDescent="0.25">
      <c r="E128" s="2" t="s">
        <v>170</v>
      </c>
      <c r="F128" s="2" t="s">
        <v>23</v>
      </c>
      <c r="G128" s="2" t="s">
        <v>46</v>
      </c>
      <c r="H128" s="2" t="s">
        <v>44</v>
      </c>
      <c r="I128" s="2">
        <v>1927.8</v>
      </c>
      <c r="J128" s="2">
        <v>1747.3</v>
      </c>
      <c r="K128" s="2">
        <v>1738.4</v>
      </c>
      <c r="L128" s="2">
        <v>1737</v>
      </c>
    </row>
    <row r="129" spans="5:12" hidden="1" x14ac:dyDescent="0.25">
      <c r="E129" s="2" t="s">
        <v>171</v>
      </c>
      <c r="F129" s="2" t="s">
        <v>23</v>
      </c>
      <c r="G129" s="2" t="s">
        <v>48</v>
      </c>
      <c r="H129" s="2" t="s">
        <v>44</v>
      </c>
      <c r="I129" s="2">
        <v>1438.55</v>
      </c>
      <c r="J129" s="2">
        <v>1554.85</v>
      </c>
      <c r="K129" s="2">
        <v>1227.8499999999999</v>
      </c>
      <c r="L129" s="2">
        <v>964.35</v>
      </c>
    </row>
    <row r="130" spans="5:12" hidden="1" x14ac:dyDescent="0.25">
      <c r="E130" s="2" t="s">
        <v>172</v>
      </c>
      <c r="F130" s="2" t="s">
        <v>23</v>
      </c>
      <c r="G130" s="2" t="s">
        <v>50</v>
      </c>
      <c r="H130" s="2" t="s">
        <v>51</v>
      </c>
      <c r="I130" s="2">
        <v>1068.5</v>
      </c>
      <c r="J130" s="2">
        <v>1009.11</v>
      </c>
      <c r="K130" s="2">
        <v>927.66</v>
      </c>
      <c r="L130" s="2">
        <v>926.77</v>
      </c>
    </row>
    <row r="131" spans="5:12" hidden="1" x14ac:dyDescent="0.25">
      <c r="E131" s="2" t="s">
        <v>173</v>
      </c>
      <c r="F131" s="2" t="s">
        <v>23</v>
      </c>
      <c r="G131" s="2" t="s">
        <v>53</v>
      </c>
      <c r="H131" s="2" t="s">
        <v>51</v>
      </c>
      <c r="I131" s="2">
        <v>0</v>
      </c>
      <c r="J131" s="2">
        <v>0</v>
      </c>
      <c r="K131" s="2">
        <v>0</v>
      </c>
      <c r="L131" s="2">
        <v>0</v>
      </c>
    </row>
    <row r="132" spans="5:12" x14ac:dyDescent="0.25">
      <c r="E132" s="2" t="s">
        <v>174</v>
      </c>
      <c r="F132" s="2" t="s">
        <v>23</v>
      </c>
      <c r="G132" s="2" t="s">
        <v>55</v>
      </c>
      <c r="H132" s="2" t="s">
        <v>44</v>
      </c>
      <c r="I132" s="2">
        <v>0</v>
      </c>
      <c r="J132" s="2">
        <v>0</v>
      </c>
      <c r="K132" s="2">
        <v>0</v>
      </c>
      <c r="L132" s="2">
        <v>0</v>
      </c>
    </row>
    <row r="133" spans="5:12" hidden="1" x14ac:dyDescent="0.25">
      <c r="E133" s="2" t="s">
        <v>40</v>
      </c>
      <c r="F133" s="2"/>
      <c r="G133" s="2">
        <v>0</v>
      </c>
      <c r="H133" s="2">
        <v>0</v>
      </c>
      <c r="I133" s="2" t="s">
        <v>175</v>
      </c>
      <c r="J133" s="2" t="s">
        <v>175</v>
      </c>
      <c r="K133" s="2" t="s">
        <v>175</v>
      </c>
      <c r="L133" s="2" t="s">
        <v>175</v>
      </c>
    </row>
    <row r="134" spans="5:12" hidden="1" x14ac:dyDescent="0.25">
      <c r="E134" s="2" t="s">
        <v>176</v>
      </c>
      <c r="F134" s="2" t="s">
        <v>24</v>
      </c>
      <c r="G134" s="2" t="s">
        <v>43</v>
      </c>
      <c r="H134" s="2" t="s">
        <v>44</v>
      </c>
      <c r="I134" s="2">
        <v>1819.19</v>
      </c>
      <c r="J134" s="2">
        <v>1745.16</v>
      </c>
      <c r="K134" s="2">
        <v>1670.39</v>
      </c>
      <c r="L134" s="2">
        <v>1654.56</v>
      </c>
    </row>
    <row r="135" spans="5:12" hidden="1" x14ac:dyDescent="0.25">
      <c r="E135" s="2" t="s">
        <v>177</v>
      </c>
      <c r="F135" s="2" t="s">
        <v>24</v>
      </c>
      <c r="G135" s="2" t="s">
        <v>46</v>
      </c>
      <c r="H135" s="2" t="s">
        <v>44</v>
      </c>
      <c r="I135" s="2">
        <v>2033.45</v>
      </c>
      <c r="J135" s="2">
        <v>1869.24</v>
      </c>
      <c r="K135" s="2">
        <v>1720.69</v>
      </c>
      <c r="L135" s="2">
        <v>1701.83</v>
      </c>
    </row>
    <row r="136" spans="5:12" hidden="1" x14ac:dyDescent="0.25">
      <c r="E136" s="2" t="s">
        <v>178</v>
      </c>
      <c r="F136" s="2" t="s">
        <v>24</v>
      </c>
      <c r="G136" s="2" t="s">
        <v>48</v>
      </c>
      <c r="H136" s="2" t="s">
        <v>44</v>
      </c>
      <c r="I136" s="2">
        <v>1773.48</v>
      </c>
      <c r="J136" s="2">
        <v>1674.68</v>
      </c>
      <c r="K136" s="2">
        <v>1431</v>
      </c>
      <c r="L136" s="2">
        <v>1403.74</v>
      </c>
    </row>
    <row r="137" spans="5:12" hidden="1" x14ac:dyDescent="0.25">
      <c r="E137" s="2" t="s">
        <v>179</v>
      </c>
      <c r="F137" s="2" t="s">
        <v>24</v>
      </c>
      <c r="G137" s="2" t="s">
        <v>50</v>
      </c>
      <c r="H137" s="2" t="s">
        <v>51</v>
      </c>
      <c r="I137" s="2">
        <v>675.4</v>
      </c>
      <c r="J137" s="2">
        <v>615.91</v>
      </c>
      <c r="K137" s="2">
        <v>523.82000000000005</v>
      </c>
      <c r="L137" s="2">
        <v>517.17999999999995</v>
      </c>
    </row>
    <row r="138" spans="5:12" hidden="1" x14ac:dyDescent="0.25">
      <c r="E138" s="2" t="s">
        <v>180</v>
      </c>
      <c r="F138" s="2" t="s">
        <v>24</v>
      </c>
      <c r="G138" s="2" t="s">
        <v>53</v>
      </c>
      <c r="H138" s="2" t="s">
        <v>51</v>
      </c>
      <c r="I138" s="2">
        <v>0</v>
      </c>
      <c r="J138" s="2">
        <v>0</v>
      </c>
      <c r="K138" s="2">
        <v>0</v>
      </c>
      <c r="L138" s="2">
        <v>0</v>
      </c>
    </row>
    <row r="139" spans="5:12" x14ac:dyDescent="0.25">
      <c r="E139" s="2" t="s">
        <v>181</v>
      </c>
      <c r="F139" s="2" t="s">
        <v>24</v>
      </c>
      <c r="G139" s="2" t="s">
        <v>55</v>
      </c>
      <c r="H139" s="2" t="s">
        <v>44</v>
      </c>
      <c r="I139" s="2">
        <v>716.09</v>
      </c>
      <c r="J139" s="2">
        <v>710.54</v>
      </c>
      <c r="K139" s="2">
        <v>696.8</v>
      </c>
      <c r="L139" s="2">
        <v>693.82</v>
      </c>
    </row>
    <row r="140" spans="5:12" hidden="1" x14ac:dyDescent="0.25">
      <c r="E140" s="2" t="s">
        <v>40</v>
      </c>
      <c r="F140" s="2"/>
      <c r="G140" s="2">
        <v>0</v>
      </c>
      <c r="H140" s="2">
        <v>0</v>
      </c>
      <c r="I140" s="2" t="s">
        <v>182</v>
      </c>
      <c r="J140" s="2" t="s">
        <v>182</v>
      </c>
      <c r="K140" s="2" t="s">
        <v>182</v>
      </c>
      <c r="L140" s="2" t="s">
        <v>182</v>
      </c>
    </row>
    <row r="141" spans="5:12" hidden="1" x14ac:dyDescent="0.25">
      <c r="E141" s="2" t="s">
        <v>183</v>
      </c>
      <c r="F141" s="2" t="s">
        <v>26</v>
      </c>
      <c r="G141" s="2">
        <v>0</v>
      </c>
      <c r="H141" s="2">
        <v>0</v>
      </c>
      <c r="I141" s="2">
        <v>1</v>
      </c>
      <c r="J141" s="2">
        <v>1</v>
      </c>
      <c r="K141" s="2">
        <v>1</v>
      </c>
      <c r="L141" s="2">
        <v>1</v>
      </c>
    </row>
    <row r="142" spans="5:12" hidden="1" x14ac:dyDescent="0.25">
      <c r="E142" s="2" t="s">
        <v>184</v>
      </c>
      <c r="F142" s="2" t="s">
        <v>26</v>
      </c>
      <c r="G142" s="2" t="s">
        <v>43</v>
      </c>
      <c r="H142" s="2" t="s">
        <v>44</v>
      </c>
      <c r="I142" s="2">
        <v>1635.4</v>
      </c>
      <c r="J142" s="2">
        <v>1576.25</v>
      </c>
      <c r="K142" s="2">
        <v>1470.91</v>
      </c>
      <c r="L142" s="2">
        <v>1457.51</v>
      </c>
    </row>
    <row r="143" spans="5:12" hidden="1" x14ac:dyDescent="0.25">
      <c r="E143" s="2" t="s">
        <v>185</v>
      </c>
      <c r="F143" s="2" t="s">
        <v>26</v>
      </c>
      <c r="G143" s="2" t="s">
        <v>46</v>
      </c>
      <c r="H143" s="2" t="s">
        <v>44</v>
      </c>
      <c r="I143" s="2">
        <v>1951.72</v>
      </c>
      <c r="J143" s="2">
        <v>1901.1</v>
      </c>
      <c r="K143" s="2">
        <v>1640.53</v>
      </c>
      <c r="L143" s="2">
        <v>1614.62</v>
      </c>
    </row>
    <row r="144" spans="5:12" hidden="1" x14ac:dyDescent="0.25">
      <c r="E144" s="2" t="s">
        <v>186</v>
      </c>
      <c r="F144" s="2" t="s">
        <v>26</v>
      </c>
      <c r="G144" s="2" t="s">
        <v>48</v>
      </c>
      <c r="H144" s="2" t="s">
        <v>44</v>
      </c>
      <c r="I144" s="2">
        <v>1306.7</v>
      </c>
      <c r="J144" s="2">
        <v>1246.96</v>
      </c>
      <c r="K144" s="2">
        <v>929.31</v>
      </c>
      <c r="L144" s="2">
        <v>917.57</v>
      </c>
    </row>
    <row r="145" spans="5:12" hidden="1" x14ac:dyDescent="0.25">
      <c r="E145" s="2" t="s">
        <v>187</v>
      </c>
      <c r="F145" s="2" t="s">
        <v>26</v>
      </c>
      <c r="G145" s="2" t="s">
        <v>50</v>
      </c>
      <c r="H145" s="2" t="s">
        <v>51</v>
      </c>
      <c r="I145" s="2">
        <v>0</v>
      </c>
      <c r="J145" s="2">
        <v>0</v>
      </c>
      <c r="K145" s="2">
        <v>0</v>
      </c>
      <c r="L145" s="2">
        <v>0</v>
      </c>
    </row>
    <row r="146" spans="5:12" hidden="1" x14ac:dyDescent="0.25">
      <c r="E146" s="2" t="s">
        <v>188</v>
      </c>
      <c r="F146" s="2" t="s">
        <v>26</v>
      </c>
      <c r="G146" s="2" t="s">
        <v>53</v>
      </c>
      <c r="H146" s="2" t="s">
        <v>51</v>
      </c>
      <c r="I146" s="2">
        <v>0</v>
      </c>
      <c r="J146" s="2">
        <v>0</v>
      </c>
      <c r="K146" s="2">
        <v>0</v>
      </c>
      <c r="L146" s="2">
        <v>0</v>
      </c>
    </row>
    <row r="147" spans="5:12" x14ac:dyDescent="0.25">
      <c r="E147" s="2" t="s">
        <v>189</v>
      </c>
      <c r="F147" s="2" t="s">
        <v>26</v>
      </c>
      <c r="G147" s="2" t="s">
        <v>55</v>
      </c>
      <c r="H147" s="2" t="s">
        <v>44</v>
      </c>
      <c r="I147" s="2">
        <v>806.41</v>
      </c>
      <c r="J147" s="2">
        <v>768.68</v>
      </c>
      <c r="K147" s="2">
        <v>718.09</v>
      </c>
      <c r="L147" s="2">
        <v>716.14</v>
      </c>
    </row>
    <row r="148" spans="5:12" hidden="1" x14ac:dyDescent="0.25">
      <c r="E148" s="2" t="s">
        <v>40</v>
      </c>
      <c r="F148" s="2"/>
      <c r="G148" s="2">
        <v>0</v>
      </c>
      <c r="H148" s="2">
        <v>0</v>
      </c>
      <c r="I148" s="2" t="s">
        <v>190</v>
      </c>
      <c r="J148" s="2" t="s">
        <v>190</v>
      </c>
      <c r="K148" s="2" t="s">
        <v>190</v>
      </c>
      <c r="L148" s="2" t="s">
        <v>190</v>
      </c>
    </row>
    <row r="149" spans="5:12" hidden="1" x14ac:dyDescent="0.25">
      <c r="E149" s="2" t="s">
        <v>191</v>
      </c>
      <c r="F149" s="2" t="s">
        <v>27</v>
      </c>
      <c r="G149" s="2" t="s">
        <v>43</v>
      </c>
      <c r="H149" s="2" t="s">
        <v>44</v>
      </c>
      <c r="I149" s="2">
        <v>1654</v>
      </c>
      <c r="J149" s="2">
        <v>1567</v>
      </c>
      <c r="K149" s="2">
        <v>1483</v>
      </c>
      <c r="L149" s="2">
        <v>1457</v>
      </c>
    </row>
    <row r="150" spans="5:12" hidden="1" x14ac:dyDescent="0.25">
      <c r="E150" s="2" t="s">
        <v>192</v>
      </c>
      <c r="F150" s="2" t="s">
        <v>27</v>
      </c>
      <c r="G150" s="2" t="s">
        <v>46</v>
      </c>
      <c r="H150" s="2" t="s">
        <v>44</v>
      </c>
      <c r="I150" s="2">
        <v>1780</v>
      </c>
      <c r="J150" s="2">
        <v>1772</v>
      </c>
      <c r="K150" s="2">
        <v>1465</v>
      </c>
      <c r="L150" s="2">
        <v>1465</v>
      </c>
    </row>
    <row r="151" spans="5:12" hidden="1" x14ac:dyDescent="0.25">
      <c r="E151" s="2" t="s">
        <v>193</v>
      </c>
      <c r="F151" s="2" t="s">
        <v>27</v>
      </c>
      <c r="G151" s="2" t="s">
        <v>48</v>
      </c>
      <c r="H151" s="2" t="s">
        <v>44</v>
      </c>
      <c r="I151" s="2">
        <v>1224</v>
      </c>
      <c r="J151" s="2">
        <v>1224</v>
      </c>
      <c r="K151" s="2">
        <v>901</v>
      </c>
      <c r="L151" s="2">
        <v>901</v>
      </c>
    </row>
    <row r="152" spans="5:12" hidden="1" x14ac:dyDescent="0.25">
      <c r="E152" s="2" t="s">
        <v>194</v>
      </c>
      <c r="F152" s="2" t="s">
        <v>27</v>
      </c>
      <c r="G152" s="2" t="s">
        <v>50</v>
      </c>
      <c r="H152" s="2" t="s">
        <v>51</v>
      </c>
      <c r="I152" s="2">
        <v>0</v>
      </c>
      <c r="J152" s="2">
        <v>0</v>
      </c>
      <c r="K152" s="2">
        <v>0</v>
      </c>
      <c r="L152" s="2">
        <v>0</v>
      </c>
    </row>
    <row r="153" spans="5:12" hidden="1" x14ac:dyDescent="0.25">
      <c r="E153" s="2" t="s">
        <v>195</v>
      </c>
      <c r="F153" s="2" t="s">
        <v>27</v>
      </c>
      <c r="G153" s="2" t="s">
        <v>53</v>
      </c>
      <c r="H153" s="2" t="s">
        <v>51</v>
      </c>
      <c r="I153" s="2">
        <v>0</v>
      </c>
      <c r="J153" s="2">
        <v>0</v>
      </c>
      <c r="K153" s="2">
        <v>0</v>
      </c>
      <c r="L153" s="2">
        <v>0</v>
      </c>
    </row>
    <row r="154" spans="5:12" x14ac:dyDescent="0.25">
      <c r="E154" s="2" t="s">
        <v>196</v>
      </c>
      <c r="F154" s="2" t="s">
        <v>27</v>
      </c>
      <c r="G154" s="2" t="s">
        <v>55</v>
      </c>
      <c r="H154" s="2" t="s">
        <v>44</v>
      </c>
      <c r="I154" s="2">
        <v>882</v>
      </c>
      <c r="J154" s="2">
        <v>804</v>
      </c>
      <c r="K154" s="2">
        <v>710</v>
      </c>
      <c r="L154" s="2">
        <v>710</v>
      </c>
    </row>
    <row r="155" spans="5:12" hidden="1" x14ac:dyDescent="0.25">
      <c r="E155" s="2" t="s">
        <v>40</v>
      </c>
      <c r="F155" s="2"/>
      <c r="G155" s="2">
        <v>0</v>
      </c>
      <c r="H155" s="2">
        <v>0</v>
      </c>
      <c r="I155" s="2" t="s">
        <v>197</v>
      </c>
      <c r="J155" s="2" t="s">
        <v>197</v>
      </c>
      <c r="K155" s="2" t="s">
        <v>197</v>
      </c>
      <c r="L155" s="2" t="s">
        <v>197</v>
      </c>
    </row>
    <row r="156" spans="5:12" hidden="1" x14ac:dyDescent="0.25">
      <c r="E156" s="2" t="s">
        <v>198</v>
      </c>
      <c r="F156" s="2" t="s">
        <v>25</v>
      </c>
      <c r="G156" s="2">
        <v>0</v>
      </c>
      <c r="H156" s="2">
        <v>0</v>
      </c>
      <c r="I156" s="2">
        <v>1</v>
      </c>
      <c r="J156" s="2">
        <v>1</v>
      </c>
      <c r="K156" s="2">
        <v>1</v>
      </c>
      <c r="L156" s="2">
        <v>1</v>
      </c>
    </row>
    <row r="157" spans="5:12" hidden="1" x14ac:dyDescent="0.25">
      <c r="E157" s="2" t="s">
        <v>199</v>
      </c>
      <c r="F157" s="2" t="s">
        <v>25</v>
      </c>
      <c r="G157" s="2" t="s">
        <v>43</v>
      </c>
      <c r="H157" s="2" t="s">
        <v>44</v>
      </c>
      <c r="I157" s="2">
        <v>1677.4</v>
      </c>
      <c r="J157" s="2">
        <v>1633</v>
      </c>
      <c r="K157" s="2">
        <v>1549.83</v>
      </c>
      <c r="L157" s="2">
        <v>1531.67</v>
      </c>
    </row>
    <row r="158" spans="5:12" hidden="1" x14ac:dyDescent="0.25">
      <c r="E158" s="2" t="s">
        <v>200</v>
      </c>
      <c r="F158" s="2" t="s">
        <v>25</v>
      </c>
      <c r="G158" s="2" t="s">
        <v>46</v>
      </c>
      <c r="H158" s="2" t="s">
        <v>44</v>
      </c>
      <c r="I158" s="2">
        <v>1919</v>
      </c>
      <c r="J158" s="2">
        <v>1792.67</v>
      </c>
      <c r="K158" s="2">
        <v>1548.33</v>
      </c>
      <c r="L158" s="2">
        <v>1528</v>
      </c>
    </row>
    <row r="159" spans="5:12" hidden="1" x14ac:dyDescent="0.25">
      <c r="E159" s="2" t="s">
        <v>201</v>
      </c>
      <c r="F159" s="2" t="s">
        <v>25</v>
      </c>
      <c r="G159" s="2" t="s">
        <v>48</v>
      </c>
      <c r="H159" s="2" t="s">
        <v>44</v>
      </c>
      <c r="I159" s="2">
        <v>1517.28</v>
      </c>
      <c r="J159" s="2">
        <v>1390.94</v>
      </c>
      <c r="K159" s="2">
        <v>1146.6099999999999</v>
      </c>
      <c r="L159" s="2">
        <v>1126.28</v>
      </c>
    </row>
    <row r="160" spans="5:12" hidden="1" x14ac:dyDescent="0.25">
      <c r="E160" s="2" t="s">
        <v>202</v>
      </c>
      <c r="F160" s="2" t="s">
        <v>25</v>
      </c>
      <c r="G160" s="2" t="s">
        <v>50</v>
      </c>
      <c r="H160" s="2" t="s">
        <v>51</v>
      </c>
      <c r="I160" s="2">
        <v>0</v>
      </c>
      <c r="J160" s="2">
        <v>0</v>
      </c>
      <c r="K160" s="2">
        <v>0</v>
      </c>
      <c r="L160" s="2">
        <v>0</v>
      </c>
    </row>
    <row r="161" spans="5:12" hidden="1" x14ac:dyDescent="0.25">
      <c r="E161" s="2" t="s">
        <v>203</v>
      </c>
      <c r="F161" s="2" t="s">
        <v>25</v>
      </c>
      <c r="G161" s="2" t="s">
        <v>53</v>
      </c>
      <c r="H161" s="2" t="s">
        <v>51</v>
      </c>
      <c r="I161" s="2">
        <v>0</v>
      </c>
      <c r="J161" s="2">
        <v>0</v>
      </c>
      <c r="K161" s="2">
        <v>0</v>
      </c>
      <c r="L161" s="2">
        <v>0</v>
      </c>
    </row>
    <row r="162" spans="5:12" x14ac:dyDescent="0.25">
      <c r="E162" s="2" t="s">
        <v>204</v>
      </c>
      <c r="F162" s="2" t="s">
        <v>25</v>
      </c>
      <c r="G162" s="2" t="s">
        <v>55</v>
      </c>
      <c r="H162" s="2" t="s">
        <v>44</v>
      </c>
      <c r="I162" s="2">
        <v>965.25</v>
      </c>
      <c r="J162" s="2">
        <v>939</v>
      </c>
      <c r="K162" s="2">
        <v>908.75</v>
      </c>
      <c r="L162" s="2">
        <v>907.33</v>
      </c>
    </row>
    <row r="163" spans="5:12" hidden="1" x14ac:dyDescent="0.25">
      <c r="E163" s="2" t="s">
        <v>40</v>
      </c>
      <c r="F163" s="2"/>
      <c r="G163" s="2">
        <v>0</v>
      </c>
      <c r="H163" s="2">
        <v>0</v>
      </c>
      <c r="I163" s="2" t="s">
        <v>205</v>
      </c>
      <c r="J163" s="2" t="s">
        <v>205</v>
      </c>
      <c r="K163" s="2" t="s">
        <v>205</v>
      </c>
      <c r="L163" s="2" t="s">
        <v>205</v>
      </c>
    </row>
    <row r="164" spans="5:12" hidden="1" x14ac:dyDescent="0.25">
      <c r="E164" s="2" t="s">
        <v>206</v>
      </c>
      <c r="F164" s="2" t="s">
        <v>28</v>
      </c>
      <c r="G164" s="2" t="s">
        <v>43</v>
      </c>
      <c r="H164" s="2" t="s">
        <v>44</v>
      </c>
      <c r="I164" s="2">
        <v>1340</v>
      </c>
      <c r="J164" s="2">
        <v>1340</v>
      </c>
      <c r="K164" s="2">
        <v>1340</v>
      </c>
      <c r="L164" s="2">
        <v>1340</v>
      </c>
    </row>
    <row r="165" spans="5:12" hidden="1" x14ac:dyDescent="0.25">
      <c r="E165" s="2" t="s">
        <v>207</v>
      </c>
      <c r="F165" s="2" t="s">
        <v>28</v>
      </c>
      <c r="G165" s="2" t="s">
        <v>46</v>
      </c>
      <c r="H165" s="2" t="s">
        <v>44</v>
      </c>
      <c r="I165" s="2">
        <v>1210</v>
      </c>
      <c r="J165" s="2">
        <v>1210</v>
      </c>
      <c r="K165" s="2">
        <v>1210</v>
      </c>
      <c r="L165" s="2">
        <v>1210</v>
      </c>
    </row>
    <row r="166" spans="5:12" hidden="1" x14ac:dyDescent="0.25">
      <c r="E166" s="2" t="s">
        <v>208</v>
      </c>
      <c r="F166" s="2" t="s">
        <v>28</v>
      </c>
      <c r="G166" s="2" t="s">
        <v>48</v>
      </c>
      <c r="H166" s="2" t="s">
        <v>44</v>
      </c>
      <c r="I166" s="2">
        <v>1000</v>
      </c>
      <c r="J166" s="2">
        <v>1000</v>
      </c>
      <c r="K166" s="2">
        <v>1000</v>
      </c>
      <c r="L166" s="2">
        <v>1000</v>
      </c>
    </row>
    <row r="167" spans="5:12" hidden="1" x14ac:dyDescent="0.25">
      <c r="E167" s="2" t="s">
        <v>209</v>
      </c>
      <c r="F167" s="2" t="s">
        <v>28</v>
      </c>
      <c r="G167" s="2" t="s">
        <v>50</v>
      </c>
      <c r="H167" s="2" t="s">
        <v>51</v>
      </c>
      <c r="I167" s="2">
        <v>0</v>
      </c>
      <c r="J167" s="2">
        <v>0</v>
      </c>
      <c r="K167" s="2">
        <v>0</v>
      </c>
      <c r="L167" s="2">
        <v>0</v>
      </c>
    </row>
    <row r="168" spans="5:12" hidden="1" x14ac:dyDescent="0.25">
      <c r="E168" s="2" t="s">
        <v>210</v>
      </c>
      <c r="F168" s="2" t="s">
        <v>28</v>
      </c>
      <c r="G168" s="2" t="s">
        <v>53</v>
      </c>
      <c r="H168" s="2" t="s">
        <v>51</v>
      </c>
      <c r="I168" s="2">
        <v>0</v>
      </c>
      <c r="J168" s="2">
        <v>0</v>
      </c>
      <c r="K168" s="2">
        <v>0</v>
      </c>
      <c r="L168" s="2">
        <v>0</v>
      </c>
    </row>
    <row r="169" spans="5:12" x14ac:dyDescent="0.25">
      <c r="E169" s="2" t="s">
        <v>211</v>
      </c>
      <c r="F169" s="2" t="s">
        <v>28</v>
      </c>
      <c r="G169" s="2" t="s">
        <v>55</v>
      </c>
      <c r="H169" s="2" t="s">
        <v>44</v>
      </c>
      <c r="I169" s="2">
        <v>0</v>
      </c>
      <c r="J169" s="2">
        <v>0</v>
      </c>
      <c r="K169" s="2">
        <v>0</v>
      </c>
      <c r="L169" s="2">
        <v>0</v>
      </c>
    </row>
    <row r="170" spans="5:12" hidden="1" x14ac:dyDescent="0.25">
      <c r="E170" s="2" t="s">
        <v>40</v>
      </c>
      <c r="F170" s="2"/>
      <c r="G170" s="2">
        <v>0</v>
      </c>
      <c r="H170" s="2">
        <v>0</v>
      </c>
      <c r="I170" s="2" t="s">
        <v>212</v>
      </c>
      <c r="J170" s="2" t="s">
        <v>212</v>
      </c>
      <c r="K170" s="2" t="s">
        <v>212</v>
      </c>
      <c r="L170" s="2" t="s">
        <v>212</v>
      </c>
    </row>
    <row r="171" spans="5:12" hidden="1" x14ac:dyDescent="0.25">
      <c r="E171" s="2" t="s">
        <v>213</v>
      </c>
      <c r="F171" s="2" t="s">
        <v>29</v>
      </c>
      <c r="G171" s="2" t="s">
        <v>43</v>
      </c>
      <c r="H171" s="2" t="s">
        <v>44</v>
      </c>
      <c r="I171" s="2">
        <v>2262.13</v>
      </c>
      <c r="J171" s="2">
        <v>2171.63</v>
      </c>
      <c r="K171" s="2">
        <v>2069.5100000000002</v>
      </c>
      <c r="L171" s="2">
        <v>2061.5</v>
      </c>
    </row>
    <row r="172" spans="5:12" hidden="1" x14ac:dyDescent="0.25">
      <c r="E172" s="2" t="s">
        <v>214</v>
      </c>
      <c r="F172" s="2" t="s">
        <v>29</v>
      </c>
      <c r="G172" s="2" t="s">
        <v>46</v>
      </c>
      <c r="H172" s="2" t="s">
        <v>44</v>
      </c>
      <c r="I172" s="2">
        <v>2264.15</v>
      </c>
      <c r="J172" s="2">
        <v>2255.37</v>
      </c>
      <c r="K172" s="2">
        <v>1889.01</v>
      </c>
      <c r="L172" s="2">
        <v>1873.04</v>
      </c>
    </row>
    <row r="173" spans="5:12" hidden="1" x14ac:dyDescent="0.25">
      <c r="E173" s="2" t="s">
        <v>215</v>
      </c>
      <c r="F173" s="2" t="s">
        <v>29</v>
      </c>
      <c r="G173" s="2" t="s">
        <v>48</v>
      </c>
      <c r="H173" s="2" t="s">
        <v>44</v>
      </c>
      <c r="I173" s="2">
        <v>0</v>
      </c>
      <c r="J173" s="2">
        <v>0</v>
      </c>
      <c r="K173" s="2">
        <v>0</v>
      </c>
      <c r="L173" s="2">
        <v>0</v>
      </c>
    </row>
    <row r="174" spans="5:12" hidden="1" x14ac:dyDescent="0.25">
      <c r="E174" s="2" t="s">
        <v>216</v>
      </c>
      <c r="F174" s="2" t="s">
        <v>29</v>
      </c>
      <c r="G174" s="2" t="s">
        <v>50</v>
      </c>
      <c r="H174" s="2" t="s">
        <v>51</v>
      </c>
      <c r="I174" s="2">
        <v>0</v>
      </c>
      <c r="J174" s="2">
        <v>0</v>
      </c>
      <c r="K174" s="2">
        <v>0</v>
      </c>
      <c r="L174" s="2">
        <v>0</v>
      </c>
    </row>
    <row r="175" spans="5:12" hidden="1" x14ac:dyDescent="0.25">
      <c r="E175" s="2" t="s">
        <v>217</v>
      </c>
      <c r="F175" s="2" t="s">
        <v>29</v>
      </c>
      <c r="G175" s="2" t="s">
        <v>53</v>
      </c>
      <c r="H175" s="2" t="s">
        <v>51</v>
      </c>
      <c r="I175" s="2">
        <v>0</v>
      </c>
      <c r="J175" s="2">
        <v>0</v>
      </c>
      <c r="K175" s="2">
        <v>0</v>
      </c>
      <c r="L175" s="2">
        <v>0</v>
      </c>
    </row>
    <row r="176" spans="5:12" x14ac:dyDescent="0.25">
      <c r="E176" s="2" t="s">
        <v>218</v>
      </c>
      <c r="F176" s="2" t="s">
        <v>29</v>
      </c>
      <c r="G176" s="2" t="s">
        <v>55</v>
      </c>
      <c r="H176" s="2" t="s">
        <v>44</v>
      </c>
      <c r="I176" s="2">
        <v>920.74</v>
      </c>
      <c r="J176" s="2">
        <v>862.73</v>
      </c>
      <c r="K176" s="2">
        <v>797.41</v>
      </c>
      <c r="L176" s="2">
        <v>798.37</v>
      </c>
    </row>
    <row r="177" spans="5:12" hidden="1" x14ac:dyDescent="0.25">
      <c r="E177" s="2" t="s">
        <v>40</v>
      </c>
      <c r="F177" s="2"/>
      <c r="G177" s="2">
        <v>0</v>
      </c>
      <c r="H177" s="2">
        <v>0</v>
      </c>
      <c r="I177" s="2" t="s">
        <v>219</v>
      </c>
      <c r="J177" s="2" t="s">
        <v>219</v>
      </c>
      <c r="K177" s="2" t="s">
        <v>219</v>
      </c>
      <c r="L177" s="2" t="s">
        <v>219</v>
      </c>
    </row>
    <row r="178" spans="5:12" hidden="1" x14ac:dyDescent="0.25">
      <c r="E178" s="2" t="s">
        <v>220</v>
      </c>
      <c r="F178" s="2" t="s">
        <v>30</v>
      </c>
      <c r="G178" s="2">
        <v>0</v>
      </c>
      <c r="H178" s="2">
        <v>0</v>
      </c>
      <c r="I178" s="2">
        <v>0.23428531</v>
      </c>
      <c r="J178" s="2">
        <v>0.23372677</v>
      </c>
      <c r="K178" s="2">
        <v>0.23562677000000001</v>
      </c>
      <c r="L178" s="2">
        <v>0.23711853999999999</v>
      </c>
    </row>
    <row r="179" spans="5:12" hidden="1" x14ac:dyDescent="0.25">
      <c r="E179" s="2" t="s">
        <v>221</v>
      </c>
      <c r="F179" s="2" t="s">
        <v>30</v>
      </c>
      <c r="G179" s="2" t="s">
        <v>43</v>
      </c>
      <c r="H179" s="2" t="s">
        <v>44</v>
      </c>
      <c r="I179" s="2">
        <v>1578.21281</v>
      </c>
      <c r="J179" s="2">
        <v>1500.03631</v>
      </c>
      <c r="K179" s="2">
        <v>1374.8215</v>
      </c>
      <c r="L179" s="2">
        <v>1376.6805400000001</v>
      </c>
    </row>
    <row r="180" spans="5:12" hidden="1" x14ac:dyDescent="0.25">
      <c r="E180" s="2" t="s">
        <v>222</v>
      </c>
      <c r="F180" s="2" t="s">
        <v>30</v>
      </c>
      <c r="G180" s="2" t="s">
        <v>46</v>
      </c>
      <c r="H180" s="2" t="s">
        <v>44</v>
      </c>
      <c r="I180" s="2">
        <v>1782.1431299999999</v>
      </c>
      <c r="J180" s="2">
        <v>1730.8991900000001</v>
      </c>
      <c r="K180" s="2">
        <v>1426.45138</v>
      </c>
      <c r="L180" s="2">
        <v>1423.74272</v>
      </c>
    </row>
    <row r="181" spans="5:12" hidden="1" x14ac:dyDescent="0.25">
      <c r="E181" s="2" t="s">
        <v>223</v>
      </c>
      <c r="F181" s="2" t="s">
        <v>30</v>
      </c>
      <c r="G181" s="2" t="s">
        <v>48</v>
      </c>
      <c r="H181" s="2" t="s">
        <v>44</v>
      </c>
      <c r="I181" s="2">
        <v>1468.93929</v>
      </c>
      <c r="J181" s="2">
        <v>1389.7284400000001</v>
      </c>
      <c r="K181" s="2">
        <v>1029.36295</v>
      </c>
      <c r="L181" s="2">
        <v>1018.63848</v>
      </c>
    </row>
    <row r="182" spans="5:12" hidden="1" x14ac:dyDescent="0.25">
      <c r="E182" s="2" t="s">
        <v>224</v>
      </c>
      <c r="F182" s="2" t="s">
        <v>30</v>
      </c>
      <c r="G182" s="2" t="s">
        <v>50</v>
      </c>
      <c r="H182" s="2" t="s">
        <v>51</v>
      </c>
      <c r="I182" s="2">
        <v>741.38943300000005</v>
      </c>
      <c r="J182" s="2">
        <v>655.94697699999995</v>
      </c>
      <c r="K182" s="2">
        <v>579.91550500000005</v>
      </c>
      <c r="L182" s="2">
        <v>599.15693099999999</v>
      </c>
    </row>
    <row r="183" spans="5:12" hidden="1" x14ac:dyDescent="0.25">
      <c r="E183" s="2" t="s">
        <v>225</v>
      </c>
      <c r="F183" s="2" t="s">
        <v>30</v>
      </c>
      <c r="G183" s="2" t="s">
        <v>53</v>
      </c>
      <c r="H183" s="2" t="s">
        <v>51</v>
      </c>
      <c r="I183" s="2">
        <v>650.85602700000004</v>
      </c>
      <c r="J183" s="2">
        <v>565.88482199999999</v>
      </c>
      <c r="K183" s="2">
        <v>459.56797899999998</v>
      </c>
      <c r="L183" s="2">
        <v>445.51295599999997</v>
      </c>
    </row>
    <row r="184" spans="5:12" x14ac:dyDescent="0.25">
      <c r="E184" s="2" t="s">
        <v>226</v>
      </c>
      <c r="F184" s="2" t="s">
        <v>30</v>
      </c>
      <c r="G184" s="2" t="s">
        <v>55</v>
      </c>
      <c r="H184" s="2" t="s">
        <v>44</v>
      </c>
      <c r="I184" s="2">
        <v>767.15231700000004</v>
      </c>
      <c r="J184" s="2">
        <v>717.806693</v>
      </c>
      <c r="K184" s="2">
        <v>662.13756699999999</v>
      </c>
      <c r="L184" s="2">
        <v>663.34115499999996</v>
      </c>
    </row>
    <row r="185" spans="5:12" hidden="1" x14ac:dyDescent="0.25">
      <c r="E185" s="2" t="s">
        <v>40</v>
      </c>
      <c r="G185" s="2">
        <v>0</v>
      </c>
      <c r="H185" s="2">
        <v>0</v>
      </c>
      <c r="I185" s="2" t="s">
        <v>227</v>
      </c>
      <c r="J185" s="2" t="s">
        <v>227</v>
      </c>
      <c r="K185" s="2" t="s">
        <v>227</v>
      </c>
      <c r="L185" s="2" t="s">
        <v>227</v>
      </c>
    </row>
    <row r="186" spans="5:12" hidden="1" x14ac:dyDescent="0.25">
      <c r="E186" s="2" t="s">
        <v>228</v>
      </c>
      <c r="F186" s="2" t="s">
        <v>31</v>
      </c>
      <c r="G186" s="2" t="s">
        <v>43</v>
      </c>
      <c r="H186" s="2" t="s">
        <v>44</v>
      </c>
      <c r="I186" s="2">
        <v>1849</v>
      </c>
      <c r="J186" s="2">
        <v>1776</v>
      </c>
      <c r="K186" s="2">
        <v>1703</v>
      </c>
      <c r="L186" s="2">
        <v>1686</v>
      </c>
    </row>
    <row r="187" spans="5:12" hidden="1" x14ac:dyDescent="0.25">
      <c r="E187" s="2" t="s">
        <v>229</v>
      </c>
      <c r="F187" s="2" t="s">
        <v>31</v>
      </c>
      <c r="G187" s="2" t="s">
        <v>46</v>
      </c>
      <c r="H187" s="2" t="s">
        <v>44</v>
      </c>
      <c r="I187" s="2">
        <v>1915</v>
      </c>
      <c r="J187" s="2">
        <v>1817</v>
      </c>
      <c r="K187" s="2">
        <v>1630</v>
      </c>
      <c r="L187" s="2">
        <v>1600</v>
      </c>
    </row>
    <row r="188" spans="5:12" hidden="1" x14ac:dyDescent="0.25">
      <c r="E188" s="2" t="s">
        <v>230</v>
      </c>
      <c r="F188" s="2" t="s">
        <v>31</v>
      </c>
      <c r="G188" s="2" t="s">
        <v>48</v>
      </c>
      <c r="H188" s="2" t="s">
        <v>44</v>
      </c>
      <c r="I188" s="2">
        <v>1880</v>
      </c>
      <c r="J188" s="2">
        <v>1770</v>
      </c>
      <c r="K188" s="2">
        <v>1552</v>
      </c>
      <c r="L188" s="2">
        <v>1530</v>
      </c>
    </row>
    <row r="189" spans="5:12" hidden="1" x14ac:dyDescent="0.25">
      <c r="E189" s="2" t="s">
        <v>231</v>
      </c>
      <c r="F189" s="2" t="s">
        <v>31</v>
      </c>
      <c r="G189" s="2" t="s">
        <v>50</v>
      </c>
      <c r="H189" s="2" t="s">
        <v>51</v>
      </c>
      <c r="I189" s="2">
        <v>1008.39</v>
      </c>
      <c r="J189" s="2">
        <v>925.98</v>
      </c>
      <c r="K189" s="2">
        <v>915.52</v>
      </c>
      <c r="L189" s="2">
        <v>905.44</v>
      </c>
    </row>
    <row r="190" spans="5:12" hidden="1" x14ac:dyDescent="0.25">
      <c r="E190" s="2" t="s">
        <v>232</v>
      </c>
      <c r="F190" s="2" t="s">
        <v>31</v>
      </c>
      <c r="G190" s="2" t="s">
        <v>53</v>
      </c>
      <c r="H190" s="2" t="s">
        <v>51</v>
      </c>
      <c r="I190" s="2">
        <v>0</v>
      </c>
      <c r="J190" s="2">
        <v>0</v>
      </c>
      <c r="K190" s="2">
        <v>0</v>
      </c>
      <c r="L190" s="2">
        <v>0</v>
      </c>
    </row>
    <row r="191" spans="5:12" x14ac:dyDescent="0.25">
      <c r="E191" s="2" t="s">
        <v>233</v>
      </c>
      <c r="F191" s="2" t="s">
        <v>31</v>
      </c>
      <c r="G191" s="2" t="s">
        <v>55</v>
      </c>
      <c r="H191" s="2" t="s">
        <v>44</v>
      </c>
      <c r="I191" s="2">
        <v>895</v>
      </c>
      <c r="J191" s="2">
        <v>877</v>
      </c>
      <c r="K191" s="2">
        <v>859</v>
      </c>
      <c r="L191" s="2">
        <v>856</v>
      </c>
    </row>
    <row r="192" spans="5:12" hidden="1" x14ac:dyDescent="0.25">
      <c r="E192" s="2" t="s">
        <v>40</v>
      </c>
      <c r="F192" s="2"/>
      <c r="G192" s="2">
        <v>0</v>
      </c>
      <c r="H192" s="2">
        <v>0</v>
      </c>
      <c r="I192" s="2" t="s">
        <v>234</v>
      </c>
      <c r="J192" s="2" t="s">
        <v>234</v>
      </c>
      <c r="K192" s="2" t="s">
        <v>234</v>
      </c>
      <c r="L192" s="2" t="s">
        <v>234</v>
      </c>
    </row>
    <row r="193" spans="5:12" hidden="1" x14ac:dyDescent="0.25">
      <c r="E193" s="2" t="s">
        <v>235</v>
      </c>
      <c r="F193" s="2" t="s">
        <v>32</v>
      </c>
      <c r="G193" s="2">
        <v>0</v>
      </c>
      <c r="H193" s="2">
        <v>0</v>
      </c>
      <c r="I193" s="2">
        <v>0.19628240999999999</v>
      </c>
      <c r="J193" s="2">
        <v>0.19615920000000001</v>
      </c>
      <c r="K193" s="2">
        <v>0.19617075</v>
      </c>
      <c r="L193" s="2">
        <v>0.19619769000000001</v>
      </c>
    </row>
    <row r="194" spans="5:12" hidden="1" x14ac:dyDescent="0.25">
      <c r="E194" s="2" t="s">
        <v>236</v>
      </c>
      <c r="F194" s="2" t="s">
        <v>32</v>
      </c>
      <c r="G194" s="2" t="s">
        <v>43</v>
      </c>
      <c r="H194" s="2" t="s">
        <v>44</v>
      </c>
      <c r="I194" s="2">
        <v>1673.0857599999999</v>
      </c>
      <c r="J194" s="2">
        <v>1625.19273</v>
      </c>
      <c r="K194" s="2">
        <v>1568.3910100000001</v>
      </c>
      <c r="L194" s="2">
        <v>1545.99855</v>
      </c>
    </row>
    <row r="195" spans="5:12" hidden="1" x14ac:dyDescent="0.25">
      <c r="E195" s="2" t="s">
        <v>237</v>
      </c>
      <c r="F195" s="2" t="s">
        <v>32</v>
      </c>
      <c r="G195" s="2" t="s">
        <v>46</v>
      </c>
      <c r="H195" s="2" t="s">
        <v>44</v>
      </c>
      <c r="I195" s="2">
        <v>1762.7141899999999</v>
      </c>
      <c r="J195" s="2">
        <v>1704.4410399999999</v>
      </c>
      <c r="K195" s="2">
        <v>1633.1077399999999</v>
      </c>
      <c r="L195" s="2">
        <v>1607.4986799999999</v>
      </c>
    </row>
    <row r="196" spans="5:12" hidden="1" x14ac:dyDescent="0.25">
      <c r="E196" s="2" t="s">
        <v>238</v>
      </c>
      <c r="F196" s="2" t="s">
        <v>32</v>
      </c>
      <c r="G196" s="2" t="s">
        <v>48</v>
      </c>
      <c r="H196" s="2" t="s">
        <v>44</v>
      </c>
      <c r="I196" s="2">
        <v>1113.3550600000001</v>
      </c>
      <c r="J196" s="2">
        <v>996.98895600000003</v>
      </c>
      <c r="K196" s="2">
        <v>870.58223499999997</v>
      </c>
      <c r="L196" s="2">
        <v>863.19331399999999</v>
      </c>
    </row>
    <row r="197" spans="5:12" hidden="1" x14ac:dyDescent="0.25">
      <c r="E197" s="2" t="s">
        <v>239</v>
      </c>
      <c r="F197" s="2" t="s">
        <v>32</v>
      </c>
      <c r="G197" s="2" t="s">
        <v>50</v>
      </c>
      <c r="H197" s="2" t="s">
        <v>51</v>
      </c>
      <c r="I197" s="2">
        <v>687.04536099999996</v>
      </c>
      <c r="J197" s="2">
        <v>607.84636799999998</v>
      </c>
      <c r="K197" s="2">
        <v>586.54660999999999</v>
      </c>
      <c r="L197" s="2">
        <v>502.33082899999999</v>
      </c>
    </row>
    <row r="198" spans="5:12" hidden="1" x14ac:dyDescent="0.25">
      <c r="E198" s="2" t="s">
        <v>240</v>
      </c>
      <c r="F198" s="2" t="s">
        <v>32</v>
      </c>
      <c r="G198" s="2" t="s">
        <v>53</v>
      </c>
      <c r="H198" s="2" t="s">
        <v>51</v>
      </c>
      <c r="I198" s="2">
        <v>0</v>
      </c>
      <c r="J198" s="2">
        <v>0</v>
      </c>
      <c r="K198" s="2">
        <v>0</v>
      </c>
      <c r="L198" s="2">
        <v>0</v>
      </c>
    </row>
    <row r="199" spans="5:12" x14ac:dyDescent="0.25">
      <c r="E199" s="2" t="s">
        <v>241</v>
      </c>
      <c r="F199" s="2" t="s">
        <v>32</v>
      </c>
      <c r="G199" s="2" t="s">
        <v>55</v>
      </c>
      <c r="H199" s="2" t="s">
        <v>44</v>
      </c>
      <c r="I199" s="2">
        <v>747.16273799999999</v>
      </c>
      <c r="J199" s="2">
        <v>741.84075800000005</v>
      </c>
      <c r="K199" s="2">
        <v>741.65685800000006</v>
      </c>
      <c r="L199" s="2">
        <v>742.85546099999999</v>
      </c>
    </row>
    <row r="200" spans="5:12" hidden="1" x14ac:dyDescent="0.25">
      <c r="E200" s="2" t="s">
        <v>40</v>
      </c>
      <c r="F200" s="2"/>
      <c r="G200" s="2">
        <v>0</v>
      </c>
      <c r="H200" s="2">
        <v>0</v>
      </c>
      <c r="I200" s="2" t="s">
        <v>242</v>
      </c>
      <c r="J200" s="2" t="s">
        <v>242</v>
      </c>
      <c r="K200" s="2" t="s">
        <v>242</v>
      </c>
      <c r="L200" s="2" t="s">
        <v>242</v>
      </c>
    </row>
    <row r="201" spans="5:12" hidden="1" x14ac:dyDescent="0.25">
      <c r="E201" s="2" t="s">
        <v>243</v>
      </c>
      <c r="F201" s="2" t="s">
        <v>36</v>
      </c>
      <c r="G201" s="2">
        <v>0</v>
      </c>
      <c r="H201" s="2">
        <v>0</v>
      </c>
      <c r="I201" s="2">
        <v>9.2859129999999998E-2</v>
      </c>
      <c r="J201" s="2">
        <v>9.3506010000000001E-2</v>
      </c>
      <c r="K201" s="2">
        <v>9.3388120000000005E-2</v>
      </c>
      <c r="L201" s="2">
        <v>9.3497269999999993E-2</v>
      </c>
    </row>
    <row r="202" spans="5:12" hidden="1" x14ac:dyDescent="0.25">
      <c r="E202" s="2" t="s">
        <v>244</v>
      </c>
      <c r="F202" s="2" t="s">
        <v>36</v>
      </c>
      <c r="G202" s="2" t="s">
        <v>43</v>
      </c>
      <c r="H202" s="2" t="s">
        <v>44</v>
      </c>
      <c r="I202" s="2">
        <v>1654.47117</v>
      </c>
      <c r="J202" s="2">
        <v>1511.5246199999999</v>
      </c>
      <c r="K202" s="2">
        <v>1436.5894699999999</v>
      </c>
      <c r="L202" s="2">
        <v>1433.5000700000001</v>
      </c>
    </row>
    <row r="203" spans="5:12" hidden="1" x14ac:dyDescent="0.25">
      <c r="E203" s="2" t="s">
        <v>245</v>
      </c>
      <c r="F203" s="2" t="s">
        <v>36</v>
      </c>
      <c r="G203" s="2" t="s">
        <v>46</v>
      </c>
      <c r="H203" s="2" t="s">
        <v>44</v>
      </c>
      <c r="I203" s="2">
        <v>1988.3926100000001</v>
      </c>
      <c r="J203" s="2">
        <v>1782.7855400000001</v>
      </c>
      <c r="K203" s="2">
        <v>1578.6328000000001</v>
      </c>
      <c r="L203" s="2">
        <v>1571.22154</v>
      </c>
    </row>
    <row r="204" spans="5:12" hidden="1" x14ac:dyDescent="0.25">
      <c r="E204" s="2" t="s">
        <v>246</v>
      </c>
      <c r="F204" s="2" t="s">
        <v>36</v>
      </c>
      <c r="G204" s="2" t="s">
        <v>48</v>
      </c>
      <c r="H204" s="2" t="s">
        <v>44</v>
      </c>
      <c r="I204" s="2">
        <v>1577.95524</v>
      </c>
      <c r="J204" s="2">
        <v>1412.03422</v>
      </c>
      <c r="K204" s="2">
        <v>1238.6066499999999</v>
      </c>
      <c r="L204" s="2">
        <v>1210.97658</v>
      </c>
    </row>
    <row r="205" spans="5:12" hidden="1" x14ac:dyDescent="0.25">
      <c r="E205" s="2" t="s">
        <v>247</v>
      </c>
      <c r="F205" s="2" t="s">
        <v>36</v>
      </c>
      <c r="G205" s="2" t="s">
        <v>50</v>
      </c>
      <c r="H205" s="2" t="s">
        <v>51</v>
      </c>
      <c r="I205" s="2">
        <v>993.87129700000003</v>
      </c>
      <c r="J205" s="2">
        <v>919.44457399999999</v>
      </c>
      <c r="K205" s="2">
        <v>857.67650400000002</v>
      </c>
      <c r="L205" s="2">
        <v>841.75587900000005</v>
      </c>
    </row>
    <row r="206" spans="5:12" hidden="1" x14ac:dyDescent="0.25">
      <c r="E206" s="2" t="s">
        <v>248</v>
      </c>
      <c r="F206" s="2" t="s">
        <v>36</v>
      </c>
      <c r="G206" s="2" t="s">
        <v>53</v>
      </c>
      <c r="H206" s="2" t="s">
        <v>51</v>
      </c>
      <c r="I206" s="2">
        <v>0</v>
      </c>
      <c r="J206" s="2">
        <v>0</v>
      </c>
      <c r="K206" s="2">
        <v>0</v>
      </c>
      <c r="L206" s="2">
        <v>0</v>
      </c>
    </row>
    <row r="207" spans="5:12" x14ac:dyDescent="0.25">
      <c r="E207" s="2" t="s">
        <v>249</v>
      </c>
      <c r="F207" s="2" t="s">
        <v>36</v>
      </c>
      <c r="G207" s="2" t="s">
        <v>55</v>
      </c>
      <c r="H207" s="2" t="s">
        <v>44</v>
      </c>
      <c r="I207" s="2">
        <v>0</v>
      </c>
      <c r="J207" s="2">
        <v>0</v>
      </c>
      <c r="K207" s="2">
        <v>0</v>
      </c>
      <c r="L207" s="2">
        <v>0</v>
      </c>
    </row>
    <row r="208" spans="5:12" hidden="1" x14ac:dyDescent="0.25">
      <c r="E208" s="2" t="s">
        <v>40</v>
      </c>
      <c r="F208" s="2"/>
      <c r="G208" s="2">
        <v>0</v>
      </c>
      <c r="H208" s="2">
        <v>0</v>
      </c>
      <c r="I208" s="2" t="s">
        <v>250</v>
      </c>
      <c r="J208" s="2" t="s">
        <v>250</v>
      </c>
      <c r="K208" s="2" t="s">
        <v>250</v>
      </c>
      <c r="L208" s="2" t="s">
        <v>250</v>
      </c>
    </row>
    <row r="209" spans="5:12" hidden="1" x14ac:dyDescent="0.25">
      <c r="E209" s="2" t="s">
        <v>251</v>
      </c>
      <c r="F209" s="2" t="s">
        <v>34</v>
      </c>
      <c r="G209" s="2">
        <v>0</v>
      </c>
      <c r="H209" s="2">
        <v>0</v>
      </c>
      <c r="I209" s="2">
        <v>1</v>
      </c>
      <c r="J209" s="2">
        <v>1</v>
      </c>
      <c r="K209" s="2">
        <v>1</v>
      </c>
      <c r="L209" s="2">
        <v>1</v>
      </c>
    </row>
    <row r="210" spans="5:12" hidden="1" x14ac:dyDescent="0.25">
      <c r="E210" s="2" t="s">
        <v>252</v>
      </c>
      <c r="F210" s="2" t="s">
        <v>34</v>
      </c>
      <c r="G210" s="2" t="s">
        <v>43</v>
      </c>
      <c r="H210" s="2" t="s">
        <v>44</v>
      </c>
      <c r="I210" s="2">
        <v>1443.02</v>
      </c>
      <c r="J210" s="2">
        <v>1434.82</v>
      </c>
      <c r="K210" s="2">
        <v>1426.08</v>
      </c>
      <c r="L210" s="2">
        <v>1419.7</v>
      </c>
    </row>
    <row r="211" spans="5:12" hidden="1" x14ac:dyDescent="0.25">
      <c r="E211" s="2" t="s">
        <v>253</v>
      </c>
      <c r="F211" s="2" t="s">
        <v>34</v>
      </c>
      <c r="G211" s="2" t="s">
        <v>46</v>
      </c>
      <c r="H211" s="2" t="s">
        <v>44</v>
      </c>
      <c r="I211" s="2">
        <v>1483.72</v>
      </c>
      <c r="J211" s="2">
        <v>1462.19</v>
      </c>
      <c r="K211" s="2">
        <v>1460.62</v>
      </c>
      <c r="L211" s="2">
        <v>1459.7</v>
      </c>
    </row>
    <row r="212" spans="5:12" hidden="1" x14ac:dyDescent="0.25">
      <c r="E212" s="2" t="s">
        <v>254</v>
      </c>
      <c r="F212" s="2" t="s">
        <v>34</v>
      </c>
      <c r="G212" s="2" t="s">
        <v>48</v>
      </c>
      <c r="H212" s="2" t="s">
        <v>44</v>
      </c>
      <c r="I212" s="2">
        <v>1145.2</v>
      </c>
      <c r="J212" s="2">
        <v>1111.81</v>
      </c>
      <c r="K212" s="2">
        <v>1110.92</v>
      </c>
      <c r="L212" s="2">
        <v>1108.72</v>
      </c>
    </row>
    <row r="213" spans="5:12" hidden="1" x14ac:dyDescent="0.25">
      <c r="E213" s="2" t="s">
        <v>255</v>
      </c>
      <c r="F213" s="2" t="s">
        <v>34</v>
      </c>
      <c r="G213" s="2" t="s">
        <v>50</v>
      </c>
      <c r="H213" s="2" t="s">
        <v>51</v>
      </c>
      <c r="I213" s="2">
        <v>0</v>
      </c>
      <c r="J213" s="2">
        <v>0</v>
      </c>
      <c r="K213" s="2">
        <v>0</v>
      </c>
      <c r="L213" s="2">
        <v>0</v>
      </c>
    </row>
    <row r="214" spans="5:12" hidden="1" x14ac:dyDescent="0.25">
      <c r="E214" s="2" t="s">
        <v>256</v>
      </c>
      <c r="F214" s="2" t="s">
        <v>34</v>
      </c>
      <c r="G214" s="2" t="s">
        <v>53</v>
      </c>
      <c r="H214" s="2" t="s">
        <v>51</v>
      </c>
      <c r="I214" s="2">
        <v>0</v>
      </c>
      <c r="J214" s="2">
        <v>0</v>
      </c>
      <c r="K214" s="2">
        <v>0</v>
      </c>
      <c r="L214" s="2">
        <v>0</v>
      </c>
    </row>
    <row r="215" spans="5:12" x14ac:dyDescent="0.25">
      <c r="E215" s="2" t="s">
        <v>257</v>
      </c>
      <c r="F215" s="2" t="s">
        <v>34</v>
      </c>
      <c r="G215" s="2" t="s">
        <v>55</v>
      </c>
      <c r="H215" s="2" t="s">
        <v>44</v>
      </c>
      <c r="I215" s="2">
        <v>847.32</v>
      </c>
      <c r="J215" s="2">
        <v>846.96</v>
      </c>
      <c r="K215" s="2">
        <v>847.55</v>
      </c>
      <c r="L215" s="2">
        <v>848.14</v>
      </c>
    </row>
    <row r="216" spans="5:12" hidden="1" x14ac:dyDescent="0.25">
      <c r="E216" s="2" t="s">
        <v>40</v>
      </c>
      <c r="F216" s="2"/>
      <c r="G216" s="2">
        <v>0</v>
      </c>
      <c r="H216" s="2">
        <v>0</v>
      </c>
      <c r="I216" s="2" t="s">
        <v>258</v>
      </c>
      <c r="J216" s="2" t="s">
        <v>258</v>
      </c>
      <c r="K216" s="2" t="s">
        <v>258</v>
      </c>
      <c r="L216" s="2" t="s">
        <v>258</v>
      </c>
    </row>
    <row r="217" spans="5:12" hidden="1" x14ac:dyDescent="0.25">
      <c r="E217" s="2" t="s">
        <v>259</v>
      </c>
      <c r="F217" s="2" t="s">
        <v>33</v>
      </c>
      <c r="G217" s="2">
        <v>0</v>
      </c>
      <c r="H217" s="2">
        <v>0</v>
      </c>
      <c r="I217" s="2">
        <v>1</v>
      </c>
      <c r="J217" s="2">
        <v>1</v>
      </c>
      <c r="K217" s="2">
        <v>1</v>
      </c>
      <c r="L217" s="2">
        <v>1</v>
      </c>
    </row>
    <row r="218" spans="5:12" hidden="1" x14ac:dyDescent="0.25">
      <c r="E218" s="2" t="s">
        <v>260</v>
      </c>
      <c r="F218" s="2" t="s">
        <v>33</v>
      </c>
      <c r="G218" s="2" t="s">
        <v>43</v>
      </c>
      <c r="H218" s="2" t="s">
        <v>44</v>
      </c>
      <c r="I218" s="2">
        <v>1524</v>
      </c>
      <c r="J218" s="2">
        <v>1487</v>
      </c>
      <c r="K218" s="2">
        <v>1474</v>
      </c>
      <c r="L218" s="2">
        <v>1474</v>
      </c>
    </row>
    <row r="219" spans="5:12" hidden="1" x14ac:dyDescent="0.25">
      <c r="E219" s="2" t="s">
        <v>261</v>
      </c>
      <c r="F219" s="2" t="s">
        <v>33</v>
      </c>
      <c r="G219" s="2" t="s">
        <v>46</v>
      </c>
      <c r="H219" s="2" t="s">
        <v>44</v>
      </c>
      <c r="I219" s="2">
        <v>1528</v>
      </c>
      <c r="J219" s="2">
        <v>1483</v>
      </c>
      <c r="K219" s="2">
        <v>1466</v>
      </c>
      <c r="L219" s="2">
        <v>1467</v>
      </c>
    </row>
    <row r="220" spans="5:12" hidden="1" x14ac:dyDescent="0.25">
      <c r="E220" s="2" t="s">
        <v>262</v>
      </c>
      <c r="F220" s="2" t="s">
        <v>33</v>
      </c>
      <c r="G220" s="2" t="s">
        <v>48</v>
      </c>
      <c r="H220" s="2" t="s">
        <v>44</v>
      </c>
      <c r="I220" s="2">
        <v>0</v>
      </c>
      <c r="J220" s="2">
        <v>0</v>
      </c>
      <c r="K220" s="2">
        <v>0</v>
      </c>
      <c r="L220" s="2">
        <v>0</v>
      </c>
    </row>
    <row r="221" spans="5:12" hidden="1" x14ac:dyDescent="0.25">
      <c r="E221" s="2" t="s">
        <v>263</v>
      </c>
      <c r="F221" s="2" t="s">
        <v>33</v>
      </c>
      <c r="G221" s="2" t="s">
        <v>50</v>
      </c>
      <c r="H221" s="2" t="s">
        <v>51</v>
      </c>
      <c r="I221" s="2">
        <v>0</v>
      </c>
      <c r="J221" s="2">
        <v>0</v>
      </c>
      <c r="K221" s="2">
        <v>0</v>
      </c>
      <c r="L221" s="2">
        <v>0</v>
      </c>
    </row>
    <row r="222" spans="5:12" hidden="1" x14ac:dyDescent="0.25">
      <c r="E222" s="2" t="s">
        <v>264</v>
      </c>
      <c r="F222" s="2" t="s">
        <v>33</v>
      </c>
      <c r="G222" s="2" t="s">
        <v>53</v>
      </c>
      <c r="H222" s="2" t="s">
        <v>51</v>
      </c>
      <c r="I222" s="2">
        <v>0</v>
      </c>
      <c r="J222" s="2">
        <v>0</v>
      </c>
      <c r="K222" s="2">
        <v>0</v>
      </c>
      <c r="L222" s="2">
        <v>0</v>
      </c>
    </row>
    <row r="223" spans="5:12" x14ac:dyDescent="0.25">
      <c r="E223" s="2" t="s">
        <v>265</v>
      </c>
      <c r="F223" s="2" t="s">
        <v>33</v>
      </c>
      <c r="G223" s="2" t="s">
        <v>55</v>
      </c>
      <c r="H223" s="2" t="s">
        <v>44</v>
      </c>
      <c r="I223" s="2">
        <v>681</v>
      </c>
      <c r="J223" s="2">
        <v>680</v>
      </c>
      <c r="K223" s="2">
        <v>675</v>
      </c>
      <c r="L223" s="2">
        <v>677</v>
      </c>
    </row>
    <row r="224" spans="5:12" hidden="1" x14ac:dyDescent="0.25">
      <c r="E224" s="2" t="s">
        <v>40</v>
      </c>
      <c r="F224" s="2"/>
      <c r="G224" s="2">
        <v>0</v>
      </c>
      <c r="H224" s="2">
        <v>0</v>
      </c>
      <c r="I224" s="2">
        <v>0</v>
      </c>
      <c r="J224" s="2">
        <v>0</v>
      </c>
      <c r="K224" s="2">
        <v>0</v>
      </c>
      <c r="L224" s="2">
        <v>0</v>
      </c>
    </row>
    <row r="225" spans="5:12" hidden="1" x14ac:dyDescent="0.25">
      <c r="E225" s="2" t="s">
        <v>266</v>
      </c>
      <c r="F225" s="2" t="s">
        <v>267</v>
      </c>
      <c r="G225" s="2">
        <v>0</v>
      </c>
      <c r="H225" s="2">
        <v>0</v>
      </c>
      <c r="I225" s="2">
        <v>0</v>
      </c>
      <c r="J225" s="2">
        <v>0</v>
      </c>
      <c r="K225" s="2">
        <v>0</v>
      </c>
      <c r="L225" s="2">
        <v>0</v>
      </c>
    </row>
    <row r="226" spans="5:12" hidden="1" x14ac:dyDescent="0.25">
      <c r="E226" s="2" t="s">
        <v>268</v>
      </c>
      <c r="F226" s="2" t="s">
        <v>267</v>
      </c>
      <c r="G226" s="2" t="s">
        <v>43</v>
      </c>
      <c r="H226" s="2" t="s">
        <v>44</v>
      </c>
      <c r="I226" s="2">
        <v>0</v>
      </c>
      <c r="J226" s="2">
        <v>0</v>
      </c>
      <c r="K226" s="2">
        <v>0</v>
      </c>
      <c r="L226" s="2">
        <v>0</v>
      </c>
    </row>
    <row r="227" spans="5:12" hidden="1" x14ac:dyDescent="0.25">
      <c r="E227" s="2" t="s">
        <v>269</v>
      </c>
      <c r="F227" s="2" t="s">
        <v>267</v>
      </c>
      <c r="G227" s="2" t="s">
        <v>46</v>
      </c>
      <c r="H227" s="2" t="s">
        <v>44</v>
      </c>
      <c r="I227" s="2">
        <v>0</v>
      </c>
      <c r="J227" s="2">
        <v>0</v>
      </c>
      <c r="K227" s="2">
        <v>0</v>
      </c>
      <c r="L227" s="2">
        <v>0</v>
      </c>
    </row>
    <row r="228" spans="5:12" hidden="1" x14ac:dyDescent="0.25">
      <c r="E228" s="2" t="s">
        <v>270</v>
      </c>
      <c r="F228" s="2" t="s">
        <v>267</v>
      </c>
      <c r="G228" s="2" t="s">
        <v>48</v>
      </c>
      <c r="H228" s="2" t="s">
        <v>44</v>
      </c>
      <c r="I228" s="2">
        <v>0</v>
      </c>
      <c r="J228" s="2">
        <v>0</v>
      </c>
      <c r="K228" s="2">
        <v>0</v>
      </c>
      <c r="L228" s="2">
        <v>0</v>
      </c>
    </row>
    <row r="229" spans="5:12" hidden="1" x14ac:dyDescent="0.25">
      <c r="E229" s="2" t="s">
        <v>271</v>
      </c>
      <c r="F229" s="2" t="s">
        <v>267</v>
      </c>
      <c r="G229" s="2" t="s">
        <v>50</v>
      </c>
      <c r="H229" s="2" t="s">
        <v>51</v>
      </c>
      <c r="I229" s="2">
        <v>0</v>
      </c>
      <c r="J229" s="2">
        <v>0</v>
      </c>
      <c r="K229" s="2">
        <v>0</v>
      </c>
      <c r="L229" s="2">
        <v>0</v>
      </c>
    </row>
    <row r="230" spans="5:12" hidden="1" x14ac:dyDescent="0.25">
      <c r="E230" s="2" t="s">
        <v>272</v>
      </c>
      <c r="F230" s="2" t="s">
        <v>267</v>
      </c>
      <c r="G230" s="2" t="s">
        <v>53</v>
      </c>
      <c r="H230" s="2" t="s">
        <v>51</v>
      </c>
      <c r="I230" s="2">
        <v>0</v>
      </c>
      <c r="J230" s="2">
        <v>0</v>
      </c>
      <c r="K230" s="2">
        <v>0</v>
      </c>
      <c r="L230" s="2">
        <v>0</v>
      </c>
    </row>
    <row r="231" spans="5:12" x14ac:dyDescent="0.25">
      <c r="E231" s="2" t="s">
        <v>273</v>
      </c>
      <c r="F231" s="2" t="s">
        <v>267</v>
      </c>
      <c r="G231" s="2" t="s">
        <v>55</v>
      </c>
      <c r="H231" s="2" t="s">
        <v>44</v>
      </c>
      <c r="I231" s="2">
        <v>0</v>
      </c>
      <c r="J231" s="2">
        <v>0</v>
      </c>
      <c r="K231" s="2">
        <v>0</v>
      </c>
      <c r="L231" s="2">
        <v>0</v>
      </c>
    </row>
  </sheetData>
  <autoFilter ref="E7:L231" xr:uid="{EE9526FF-5FBA-934A-9D50-1BADC144279D}">
    <filterColumn colId="2">
      <filters>
        <filter val="GPL pour moteur LPG motor fuel"/>
      </filters>
    </filterColumn>
  </autoFilter>
  <mergeCells count="1">
    <mergeCell ref="I5:L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3A1E4-A4CC-5347-9F2B-9AF19F25FA95}">
  <dimension ref="C4:D43"/>
  <sheetViews>
    <sheetView workbookViewId="0">
      <selection activeCell="B5" sqref="B5"/>
    </sheetView>
  </sheetViews>
  <sheetFormatPr defaultColWidth="11.42578125" defaultRowHeight="15" x14ac:dyDescent="0.25"/>
  <cols>
    <col min="3" max="4" width="75" customWidth="1"/>
  </cols>
  <sheetData>
    <row r="4" spans="3:4" ht="60.95" customHeight="1" x14ac:dyDescent="0.25">
      <c r="C4" s="3" t="s">
        <v>6</v>
      </c>
      <c r="D4" s="5" t="s">
        <v>289</v>
      </c>
    </row>
    <row r="5" spans="3:4" x14ac:dyDescent="0.25">
      <c r="C5" s="6" t="s">
        <v>11</v>
      </c>
      <c r="D5" s="7">
        <v>98.643000000000001</v>
      </c>
    </row>
    <row r="6" spans="3:4" x14ac:dyDescent="0.25">
      <c r="C6" s="6" t="s">
        <v>12</v>
      </c>
      <c r="D6" s="8">
        <v>97.921000000000006</v>
      </c>
    </row>
    <row r="7" spans="3:4" x14ac:dyDescent="0.25">
      <c r="C7" s="6" t="s">
        <v>15</v>
      </c>
      <c r="D7" s="7">
        <v>84.171000000000006</v>
      </c>
    </row>
    <row r="8" spans="3:4" x14ac:dyDescent="0.25">
      <c r="C8" s="6" t="s">
        <v>16</v>
      </c>
      <c r="D8" s="8">
        <v>-17.456</v>
      </c>
    </row>
    <row r="9" spans="3:4" x14ac:dyDescent="0.25">
      <c r="C9" s="6" t="s">
        <v>20</v>
      </c>
      <c r="D9" s="7">
        <v>91.578000000000003</v>
      </c>
    </row>
    <row r="10" spans="3:4" x14ac:dyDescent="0.25">
      <c r="C10" s="6" t="s">
        <v>17</v>
      </c>
      <c r="D10" s="9">
        <v>100</v>
      </c>
    </row>
    <row r="11" spans="3:4" x14ac:dyDescent="0.25">
      <c r="C11" s="6" t="s">
        <v>23</v>
      </c>
      <c r="D11" s="7">
        <v>79.459000000000003</v>
      </c>
    </row>
    <row r="12" spans="3:4" x14ac:dyDescent="0.25">
      <c r="C12" s="6" t="s">
        <v>21</v>
      </c>
      <c r="D12" s="8">
        <v>101.292</v>
      </c>
    </row>
    <row r="13" spans="3:4" x14ac:dyDescent="0.25">
      <c r="C13" s="6" t="s">
        <v>35</v>
      </c>
      <c r="D13" s="7">
        <v>97.391000000000005</v>
      </c>
    </row>
    <row r="14" spans="3:4" x14ac:dyDescent="0.25">
      <c r="C14" s="6" t="s">
        <v>19</v>
      </c>
      <c r="D14" s="8">
        <v>90.754000000000005</v>
      </c>
    </row>
    <row r="15" spans="3:4" x14ac:dyDescent="0.25">
      <c r="C15" s="6" t="s">
        <v>13</v>
      </c>
      <c r="D15" s="7">
        <v>69.227999999999994</v>
      </c>
    </row>
    <row r="16" spans="3:4" x14ac:dyDescent="0.25">
      <c r="C16" s="6" t="s">
        <v>24</v>
      </c>
      <c r="D16" s="8">
        <v>95.188000000000002</v>
      </c>
    </row>
    <row r="17" spans="3:4" x14ac:dyDescent="0.25">
      <c r="C17" s="6" t="s">
        <v>14</v>
      </c>
      <c r="D17" s="10">
        <v>0</v>
      </c>
    </row>
    <row r="18" spans="3:4" x14ac:dyDescent="0.25">
      <c r="C18" s="6" t="s">
        <v>25</v>
      </c>
      <c r="D18" s="8">
        <v>100.10299999999999</v>
      </c>
    </row>
    <row r="19" spans="3:4" x14ac:dyDescent="0.25">
      <c r="C19" s="6" t="s">
        <v>26</v>
      </c>
      <c r="D19" s="7">
        <v>99.183999999999997</v>
      </c>
    </row>
    <row r="20" spans="3:4" x14ac:dyDescent="0.25">
      <c r="C20" s="6" t="s">
        <v>27</v>
      </c>
      <c r="D20" s="9">
        <v>100</v>
      </c>
    </row>
    <row r="21" spans="3:4" x14ac:dyDescent="0.25">
      <c r="C21" s="6" t="s">
        <v>22</v>
      </c>
      <c r="D21" s="7">
        <v>65.671000000000006</v>
      </c>
    </row>
    <row r="22" spans="3:4" x14ac:dyDescent="0.25">
      <c r="C22" s="6" t="s">
        <v>28</v>
      </c>
      <c r="D22" s="8">
        <v>102.02800000000001</v>
      </c>
    </row>
    <row r="23" spans="3:4" x14ac:dyDescent="0.25">
      <c r="C23" s="6" t="s">
        <v>29</v>
      </c>
      <c r="D23" s="7">
        <v>56.484000000000002</v>
      </c>
    </row>
    <row r="24" spans="3:4" x14ac:dyDescent="0.25">
      <c r="C24" s="6" t="s">
        <v>10</v>
      </c>
      <c r="D24" s="8">
        <v>77.256</v>
      </c>
    </row>
    <row r="25" spans="3:4" x14ac:dyDescent="0.25">
      <c r="C25" s="6" t="s">
        <v>30</v>
      </c>
      <c r="D25" s="10">
        <v>78.67</v>
      </c>
    </row>
    <row r="26" spans="3:4" x14ac:dyDescent="0.25">
      <c r="C26" s="6" t="s">
        <v>31</v>
      </c>
      <c r="D26" s="9">
        <v>98.95</v>
      </c>
    </row>
    <row r="27" spans="3:4" x14ac:dyDescent="0.25">
      <c r="C27" s="6" t="s">
        <v>32</v>
      </c>
      <c r="D27" s="7">
        <v>-0.46800000000000003</v>
      </c>
    </row>
    <row r="28" spans="3:4" x14ac:dyDescent="0.25">
      <c r="C28" s="6" t="s">
        <v>34</v>
      </c>
      <c r="D28" s="8">
        <v>99.543999999999997</v>
      </c>
    </row>
    <row r="29" spans="3:4" x14ac:dyDescent="0.25">
      <c r="C29" s="6" t="s">
        <v>33</v>
      </c>
      <c r="D29" s="7">
        <v>91.617999999999995</v>
      </c>
    </row>
    <row r="30" spans="3:4" x14ac:dyDescent="0.25">
      <c r="C30" s="6" t="s">
        <v>18</v>
      </c>
      <c r="D30" s="8">
        <v>100.52500000000001</v>
      </c>
    </row>
    <row r="31" spans="3:4" x14ac:dyDescent="0.25">
      <c r="C31" s="6" t="s">
        <v>36</v>
      </c>
      <c r="D31" s="7">
        <v>99.072999999999993</v>
      </c>
    </row>
    <row r="32" spans="3:4" x14ac:dyDescent="0.25">
      <c r="C32" s="6" t="s">
        <v>275</v>
      </c>
      <c r="D32" s="9">
        <v>0</v>
      </c>
    </row>
    <row r="33" spans="3:4" x14ac:dyDescent="0.25">
      <c r="C33" s="6" t="s">
        <v>276</v>
      </c>
      <c r="D33" s="7">
        <v>-2622.0390000000002</v>
      </c>
    </row>
    <row r="34" spans="3:4" x14ac:dyDescent="0.25">
      <c r="C34" s="6" t="s">
        <v>277</v>
      </c>
      <c r="D34" s="8">
        <v>100.012</v>
      </c>
    </row>
    <row r="35" spans="3:4" x14ac:dyDescent="0.25">
      <c r="C35" s="6" t="s">
        <v>278</v>
      </c>
      <c r="D35" s="10">
        <v>0</v>
      </c>
    </row>
    <row r="36" spans="3:4" x14ac:dyDescent="0.25">
      <c r="C36" s="6" t="s">
        <v>279</v>
      </c>
      <c r="D36" s="8">
        <v>99.932000000000002</v>
      </c>
    </row>
    <row r="37" spans="3:4" x14ac:dyDescent="0.25">
      <c r="C37" s="6" t="s">
        <v>280</v>
      </c>
      <c r="D37" s="7">
        <v>99.998999999999995</v>
      </c>
    </row>
    <row r="38" spans="3:4" x14ac:dyDescent="0.25">
      <c r="C38" s="6" t="s">
        <v>281</v>
      </c>
      <c r="D38" s="8">
        <v>99.531999999999996</v>
      </c>
    </row>
    <row r="39" spans="3:4" x14ac:dyDescent="0.25">
      <c r="C39" s="6" t="s">
        <v>282</v>
      </c>
      <c r="D39" s="10">
        <v>0</v>
      </c>
    </row>
    <row r="40" spans="3:4" x14ac:dyDescent="0.25">
      <c r="C40" s="6" t="s">
        <v>283</v>
      </c>
      <c r="D40" s="8">
        <v>88.245000000000005</v>
      </c>
    </row>
    <row r="41" spans="3:4" x14ac:dyDescent="0.25">
      <c r="C41" s="6" t="s">
        <v>284</v>
      </c>
      <c r="D41" s="11" t="s">
        <v>287</v>
      </c>
    </row>
    <row r="42" spans="3:4" x14ac:dyDescent="0.25">
      <c r="C42" s="6" t="s">
        <v>285</v>
      </c>
      <c r="D42" s="12" t="s">
        <v>287</v>
      </c>
    </row>
    <row r="43" spans="3:4" x14ac:dyDescent="0.25">
      <c r="C43" s="6" t="s">
        <v>286</v>
      </c>
      <c r="D43" s="11" t="s">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 Me</vt:lpstr>
      <vt:lpstr>1 - Super 95</vt:lpstr>
      <vt:lpstr>2 - Diesel</vt:lpstr>
      <vt:lpstr>3 - Gas</vt:lpstr>
      <vt:lpstr>Raw Data - EU Oil Bulletin</vt:lpstr>
      <vt:lpstr>Raw Data - Imports Dependency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Charlotte Sophia Bez</cp:lastModifiedBy>
  <dcterms:created xsi:type="dcterms:W3CDTF">2026-03-23T21:09:42Z</dcterms:created>
  <dcterms:modified xsi:type="dcterms:W3CDTF">2026-03-25T11:32:36Z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2026-03-23T21:11:15Z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89e77033-8876-4ceb-8259-983014a016a2</vt:lpwstr>
  </property>
  <property fmtid="{D5CDD505-2E9C-101B-9397-08002B2CF9AE}" pid="7" name="MSIP_Label_defa4170-0d19-0005-0004-bc88714345d2_ActionId">
    <vt:lpwstr>d5d2016a-d060-4dc4-9ef6-d2b2ccc805e5</vt:lpwstr>
  </property>
  <property fmtid="{D5CDD505-2E9C-101B-9397-08002B2CF9AE}" pid="8" name="MSIP_Label_defa4170-0d19-0005-0004-bc88714345d2_ContentBits">
    <vt:lpwstr>0</vt:lpwstr>
  </property>
  <property fmtid="{D5CDD505-2E9C-101B-9397-08002B2CF9AE}" pid="9" name="MSIP_Label_defa4170-0d19-0005-0004-bc88714345d2_Tag">
    <vt:lpwstr>50, 3, 0, 1</vt:lpwstr>
  </property>
</Properties>
</file>